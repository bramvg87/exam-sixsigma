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50913\Downloads\"/>
    </mc:Choice>
  </mc:AlternateContent>
  <xr:revisionPtr revIDLastSave="0" documentId="13_ncr:1_{CC639928-1C62-4491-B083-83671DD3A56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i" sheetId="3" r:id="rId1"/>
    <sheet name="3 Lightbulbs" sheetId="4" r:id="rId2"/>
  </sheets>
  <definedNames>
    <definedName name="_xlchart.v1.0" hidden="1">'3 Lightbulbs'!$F$11:$F$110</definedName>
    <definedName name="_xlchart.v1.1" hidden="1">'3 Lightbulbs'!$G$11:$G$110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31" i="4"/>
  <c r="F32" i="4"/>
  <c r="F33" i="4"/>
  <c r="F34" i="4"/>
  <c r="F35" i="4"/>
  <c r="F36" i="4"/>
  <c r="F37" i="4"/>
  <c r="F38" i="4"/>
  <c r="F39" i="4"/>
  <c r="G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G80" i="4"/>
  <c r="F81" i="4"/>
  <c r="G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G24" i="4" s="1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G38" i="4" s="1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G66" i="4" s="1"/>
  <c r="E67" i="4"/>
  <c r="G67" i="4" s="1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G108" i="4" s="1"/>
  <c r="E109" i="4"/>
  <c r="G109" i="4" s="1"/>
  <c r="E110" i="4"/>
  <c r="E11" i="4"/>
  <c r="B14" i="4"/>
  <c r="G14" i="4" s="1"/>
  <c r="C14" i="4"/>
  <c r="D14" i="4"/>
  <c r="B15" i="4"/>
  <c r="C15" i="4"/>
  <c r="D15" i="4"/>
  <c r="B16" i="4"/>
  <c r="C16" i="4"/>
  <c r="D16" i="4"/>
  <c r="B17" i="4"/>
  <c r="G17" i="4" s="1"/>
  <c r="C17" i="4"/>
  <c r="D17" i="4"/>
  <c r="B18" i="4"/>
  <c r="G18" i="4" s="1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G23" i="4" s="1"/>
  <c r="C23" i="4"/>
  <c r="D23" i="4"/>
  <c r="B24" i="4"/>
  <c r="C24" i="4"/>
  <c r="D24" i="4"/>
  <c r="B25" i="4"/>
  <c r="C25" i="4"/>
  <c r="D25" i="4"/>
  <c r="G25" i="4" s="1"/>
  <c r="B26" i="4"/>
  <c r="C26" i="4"/>
  <c r="D26" i="4"/>
  <c r="B27" i="4"/>
  <c r="C27" i="4"/>
  <c r="D27" i="4"/>
  <c r="B28" i="4"/>
  <c r="G28" i="4" s="1"/>
  <c r="C28" i="4"/>
  <c r="D28" i="4"/>
  <c r="B29" i="4"/>
  <c r="C29" i="4"/>
  <c r="D29" i="4"/>
  <c r="B30" i="4"/>
  <c r="C30" i="4"/>
  <c r="D30" i="4"/>
  <c r="B31" i="4"/>
  <c r="C31" i="4"/>
  <c r="D31" i="4"/>
  <c r="B32" i="4"/>
  <c r="G32" i="4" s="1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G37" i="4" s="1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G42" i="4" s="1"/>
  <c r="C42" i="4"/>
  <c r="D42" i="4"/>
  <c r="B43" i="4"/>
  <c r="C43" i="4"/>
  <c r="D43" i="4"/>
  <c r="B44" i="4"/>
  <c r="C44" i="4"/>
  <c r="D44" i="4"/>
  <c r="B45" i="4"/>
  <c r="G45" i="4" s="1"/>
  <c r="C45" i="4"/>
  <c r="D45" i="4"/>
  <c r="B46" i="4"/>
  <c r="G46" i="4" s="1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G51" i="4" s="1"/>
  <c r="C51" i="4"/>
  <c r="D51" i="4"/>
  <c r="B52" i="4"/>
  <c r="G52" i="4" s="1"/>
  <c r="C52" i="4"/>
  <c r="D52" i="4"/>
  <c r="B53" i="4"/>
  <c r="G53" i="4" s="1"/>
  <c r="C53" i="4"/>
  <c r="D53" i="4"/>
  <c r="B54" i="4"/>
  <c r="C54" i="4"/>
  <c r="D54" i="4"/>
  <c r="B55" i="4"/>
  <c r="C55" i="4"/>
  <c r="D55" i="4"/>
  <c r="B56" i="4"/>
  <c r="G56" i="4" s="1"/>
  <c r="C56" i="4"/>
  <c r="D56" i="4"/>
  <c r="B57" i="4"/>
  <c r="C57" i="4"/>
  <c r="D57" i="4"/>
  <c r="B58" i="4"/>
  <c r="C58" i="4"/>
  <c r="D58" i="4"/>
  <c r="B59" i="4"/>
  <c r="C59" i="4"/>
  <c r="G59" i="4" s="1"/>
  <c r="D59" i="4"/>
  <c r="B60" i="4"/>
  <c r="G60" i="4" s="1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G65" i="4" s="1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G70" i="4" s="1"/>
  <c r="C70" i="4"/>
  <c r="D70" i="4"/>
  <c r="B71" i="4"/>
  <c r="C71" i="4"/>
  <c r="D71" i="4"/>
  <c r="B72" i="4"/>
  <c r="C72" i="4"/>
  <c r="D72" i="4"/>
  <c r="B73" i="4"/>
  <c r="G73" i="4" s="1"/>
  <c r="C73" i="4"/>
  <c r="D73" i="4"/>
  <c r="B74" i="4"/>
  <c r="G74" i="4" s="1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G79" i="4" s="1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G84" i="4" s="1"/>
  <c r="C84" i="4"/>
  <c r="D84" i="4"/>
  <c r="B85" i="4"/>
  <c r="C85" i="4"/>
  <c r="D85" i="4"/>
  <c r="B86" i="4"/>
  <c r="C86" i="4"/>
  <c r="D86" i="4"/>
  <c r="B87" i="4"/>
  <c r="G87" i="4" s="1"/>
  <c r="C87" i="4"/>
  <c r="D87" i="4"/>
  <c r="B88" i="4"/>
  <c r="G88" i="4" s="1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G93" i="4" s="1"/>
  <c r="D93" i="4"/>
  <c r="B94" i="4"/>
  <c r="G94" i="4" s="1"/>
  <c r="C94" i="4"/>
  <c r="D94" i="4"/>
  <c r="B95" i="4"/>
  <c r="G95" i="4" s="1"/>
  <c r="C95" i="4"/>
  <c r="D95" i="4"/>
  <c r="B96" i="4"/>
  <c r="C96" i="4"/>
  <c r="D96" i="4"/>
  <c r="B97" i="4"/>
  <c r="C97" i="4"/>
  <c r="D97" i="4"/>
  <c r="B98" i="4"/>
  <c r="G98" i="4" s="1"/>
  <c r="C98" i="4"/>
  <c r="D98" i="4"/>
  <c r="B99" i="4"/>
  <c r="C99" i="4"/>
  <c r="D99" i="4"/>
  <c r="B100" i="4"/>
  <c r="C100" i="4"/>
  <c r="D100" i="4"/>
  <c r="B101" i="4"/>
  <c r="C101" i="4"/>
  <c r="D101" i="4"/>
  <c r="G101" i="4" s="1"/>
  <c r="B102" i="4"/>
  <c r="C102" i="4"/>
  <c r="G102" i="4" s="1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G107" i="4" s="1"/>
  <c r="C107" i="4"/>
  <c r="D107" i="4"/>
  <c r="B108" i="4"/>
  <c r="C108" i="4"/>
  <c r="D108" i="4"/>
  <c r="B109" i="4"/>
  <c r="C109" i="4"/>
  <c r="D109" i="4"/>
  <c r="B110" i="4"/>
  <c r="C110" i="4"/>
  <c r="D110" i="4"/>
  <c r="B12" i="4"/>
  <c r="C12" i="4"/>
  <c r="D12" i="4"/>
  <c r="B13" i="4"/>
  <c r="C13" i="4"/>
  <c r="D13" i="4"/>
  <c r="D11" i="4"/>
  <c r="C11" i="4"/>
  <c r="B11" i="4"/>
  <c r="G1" i="3"/>
  <c r="J1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C4" i="3"/>
  <c r="B4" i="3"/>
  <c r="G96" i="4" l="1"/>
  <c r="G68" i="4"/>
  <c r="G26" i="4"/>
  <c r="G64" i="4"/>
  <c r="G91" i="4"/>
  <c r="G63" i="4"/>
  <c r="G35" i="4"/>
  <c r="G86" i="4"/>
  <c r="G30" i="4"/>
  <c r="G90" i="4"/>
  <c r="G83" i="4"/>
  <c r="G92" i="4"/>
  <c r="G36" i="4"/>
  <c r="G100" i="4"/>
  <c r="G16" i="4"/>
  <c r="G13" i="4"/>
  <c r="G103" i="4"/>
  <c r="G89" i="4"/>
  <c r="G75" i="4"/>
  <c r="G61" i="4"/>
  <c r="G47" i="4"/>
  <c r="G33" i="4"/>
  <c r="G19" i="4"/>
  <c r="G69" i="4"/>
  <c r="G97" i="4"/>
  <c r="G55" i="4"/>
  <c r="G41" i="4"/>
  <c r="G27" i="4"/>
  <c r="G12" i="4"/>
  <c r="G110" i="4"/>
  <c r="G82" i="4"/>
  <c r="G54" i="4"/>
  <c r="G40" i="4"/>
  <c r="G106" i="4"/>
  <c r="G78" i="4"/>
  <c r="G50" i="4"/>
  <c r="G22" i="4"/>
  <c r="G105" i="4"/>
  <c r="G77" i="4"/>
  <c r="G49" i="4"/>
  <c r="G21" i="4"/>
  <c r="G72" i="4"/>
  <c r="G58" i="4"/>
  <c r="G44" i="4"/>
  <c r="G11" i="4"/>
  <c r="G104" i="4"/>
  <c r="G76" i="4"/>
  <c r="G62" i="4"/>
  <c r="G48" i="4"/>
  <c r="G34" i="4"/>
  <c r="G20" i="4"/>
  <c r="G99" i="4"/>
  <c r="G85" i="4"/>
  <c r="G71" i="4"/>
  <c r="G57" i="4"/>
  <c r="G43" i="4"/>
  <c r="G29" i="4"/>
  <c r="G15" i="4"/>
  <c r="D6" i="3"/>
  <c r="D13" i="3"/>
  <c r="D11" i="3"/>
  <c r="D9" i="3"/>
  <c r="D7" i="3"/>
  <c r="D5" i="3"/>
  <c r="D4" i="3"/>
  <c r="D10" i="3"/>
  <c r="D12" i="3"/>
  <c r="D8" i="3"/>
  <c r="G113" i="4" l="1"/>
  <c r="G115" i="4" s="1"/>
  <c r="G112" i="4"/>
  <c r="G5" i="3"/>
  <c r="G6" i="3"/>
  <c r="G10" i="3"/>
  <c r="G11" i="3"/>
  <c r="G8" i="3"/>
  <c r="G12" i="3"/>
  <c r="G9" i="3"/>
  <c r="G13" i="3"/>
  <c r="G7" i="3"/>
  <c r="E4" i="3"/>
  <c r="E5" i="3"/>
  <c r="E9" i="3"/>
  <c r="E13" i="3"/>
  <c r="E11" i="3"/>
  <c r="E8" i="3"/>
  <c r="E6" i="3"/>
  <c r="E10" i="3"/>
  <c r="E7" i="3"/>
  <c r="E12" i="3"/>
  <c r="G116" i="4" l="1"/>
  <c r="H5" i="3"/>
  <c r="I7" i="3"/>
  <c r="I9" i="3"/>
  <c r="I11" i="3"/>
  <c r="I10" i="3"/>
  <c r="I13" i="3"/>
  <c r="I6" i="3"/>
  <c r="I12" i="3"/>
  <c r="I8" i="3"/>
  <c r="I5" i="3"/>
  <c r="H7" i="3"/>
  <c r="H11" i="3"/>
  <c r="H10" i="3"/>
  <c r="H13" i="3"/>
  <c r="H6" i="3"/>
  <c r="H9" i="3"/>
  <c r="H12" i="3"/>
  <c r="H8" i="3"/>
</calcChain>
</file>

<file path=xl/sharedStrings.xml><?xml version="1.0" encoding="utf-8"?>
<sst xmlns="http://schemas.openxmlformats.org/spreadsheetml/2006/main" count="26" uniqueCount="25">
  <si>
    <t>X</t>
  </si>
  <si>
    <t>Y</t>
  </si>
  <si>
    <t>h(X,Y)</t>
  </si>
  <si>
    <t>MCE</t>
  </si>
  <si>
    <t>alpha</t>
  </si>
  <si>
    <t>CI low</t>
  </si>
  <si>
    <t>Var h</t>
  </si>
  <si>
    <t>quantile</t>
  </si>
  <si>
    <t>CI up</t>
  </si>
  <si>
    <t>True pi/4</t>
  </si>
  <si>
    <t>Let X1, X2 and X3 be the lifetime of 3 lightbulbs</t>
  </si>
  <si>
    <t>X1</t>
  </si>
  <si>
    <t>X2</t>
  </si>
  <si>
    <t>X3</t>
  </si>
  <si>
    <t>rep</t>
  </si>
  <si>
    <t>c) How many of these bulbs can we put in the circuit if we want to promise the customer  a MTTF of at least 2000 hours</t>
  </si>
  <si>
    <t>The bulbs are in a series circuit so that all lights go out as soon as one bulb fails</t>
  </si>
  <si>
    <t>These lifetimes are iid exponentially distributed with mean of 10000 hours</t>
  </si>
  <si>
    <t>a) estimate the MTTF, which is the expected time E[min(X1,X2,X3)] until the lights go out</t>
  </si>
  <si>
    <t>b) estimate the distribution of the time min(X1,X2,X3) until the lights go out</t>
  </si>
  <si>
    <t>mean</t>
  </si>
  <si>
    <t>stdev</t>
  </si>
  <si>
    <t>CI half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</si>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</sst>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Pi!$E$3</c:f>
              <c:strCache>
                <c:ptCount val="1"/>
                <c:pt idx="0">
                  <c:v>MCE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Pi!$A$4:$A$13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Pi!$E$4:$E$13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0.8</c:v>
                </c:pt>
                <c:pt idx="5">
                  <c:v>0.83333333333333337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0.88888888888888884</c:v>
                </c:pt>
                <c:pt idx="9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4F-4604-8798-CAE807FA14B8}"/>
            </c:ext>
          </c:extLst>
        </c:ser>
        <c:ser>
          <c:idx val="1"/>
          <c:order val="1"/>
          <c:tx>
            <c:strRef>
              <c:f>Pi!$H$3</c:f>
              <c:strCache>
                <c:ptCount val="1"/>
                <c:pt idx="0">
                  <c:v>CI 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Pi!$A$5:$A$13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Pi!$H$5:$H$13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0.2600090038649866</c:v>
                </c:pt>
                <c:pt idx="3">
                  <c:v>0.40800720309198935</c:v>
                </c:pt>
                <c:pt idx="4">
                  <c:v>0.50667266924332455</c:v>
                </c:pt>
                <c:pt idx="5">
                  <c:v>0.57714800220856377</c:v>
                </c:pt>
                <c:pt idx="6">
                  <c:v>0.63000450193249335</c:v>
                </c:pt>
                <c:pt idx="7">
                  <c:v>0.67111511282888281</c:v>
                </c:pt>
                <c:pt idx="8">
                  <c:v>0.53867146872799287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4F-4604-8798-CAE807FA14B8}"/>
            </c:ext>
          </c:extLst>
        </c:ser>
        <c:ser>
          <c:idx val="2"/>
          <c:order val="2"/>
          <c:tx>
            <c:strRef>
              <c:f>Pi!$I$3</c:f>
              <c:strCache>
                <c:ptCount val="1"/>
                <c:pt idx="0">
                  <c:v>CI 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Pi!$A$5:$A$13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Pi!$I$5:$I$13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1.2399909961350133</c:v>
                </c:pt>
                <c:pt idx="3">
                  <c:v>1.1919927969080106</c:v>
                </c:pt>
                <c:pt idx="4">
                  <c:v>1.1599939974233422</c:v>
                </c:pt>
                <c:pt idx="5">
                  <c:v>1.1371377120771504</c:v>
                </c:pt>
                <c:pt idx="6">
                  <c:v>1.1199954980675066</c:v>
                </c:pt>
                <c:pt idx="7">
                  <c:v>1.1066626649488949</c:v>
                </c:pt>
                <c:pt idx="8">
                  <c:v>1.0613285312720073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4F-4604-8798-CAE807FA1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20464"/>
        <c:axId val="565021184"/>
      </c:scatterChart>
      <c:valAx>
        <c:axId val="56502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65021184"/>
        <c:crosses val="autoZero"/>
        <c:crossBetween val="midCat"/>
      </c:valAx>
      <c:valAx>
        <c:axId val="5650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6502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D9F7-4E6A-B81D-1B1C79D905F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161924</xdr:colOff>
      <xdr:row>1</xdr:row>
      <xdr:rowOff>61912</xdr:rowOff>
    </xdr:from>
    <xdr:to>
      <xdr:col>21</xdr:col>
      <xdr:colOff>133349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AE550-D412-F692-76C0-C9929E750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0</xdr:row>
      <xdr:rowOff>66675</xdr:rowOff>
    </xdr:from>
    <xdr:to>
      <xdr:col>14</xdr:col>
      <xdr:colOff>533400</xdr:colOff>
      <xdr:row>5</xdr:row>
      <xdr:rowOff>114929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C02656-4D10-E889-E9C9-87FC1FCC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5" y="66675"/>
          <a:ext cx="2466975" cy="1000754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11</xdr:row>
      <xdr:rowOff>101600</xdr:rowOff>
    </xdr:from>
    <xdr:to>
      <xdr:col>16</xdr:col>
      <xdr:colOff>142875</xdr:colOff>
      <xdr:row>26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A31A77-F6FD-9BA2-3D07-C1000C5E6B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4875" y="2127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7538-7F0D-43B4-B3D7-E77A74CFEB1C}">
  <dimension ref="A1:J13"/>
  <sheetViews>
    <sheetView workbookViewId="0">
      <selection activeCell="G39" sqref="G39"/>
    </sheetView>
  </sheetViews>
  <sheetFormatPr defaultRowHeight="14.5" x14ac:dyDescent="0.35"/>
  <cols>
    <col min="10" max="10" width="12.7265625" customWidth="1"/>
  </cols>
  <sheetData>
    <row r="1" spans="1:10" x14ac:dyDescent="0.35">
      <c r="D1" t="s">
        <v>4</v>
      </c>
      <c r="E1" s="1">
        <v>0.05</v>
      </c>
      <c r="F1" t="s">
        <v>7</v>
      </c>
      <c r="G1">
        <f>_xlfn.NORM.INV(1-E1/2,0,1)</f>
        <v>1.9599639845400536</v>
      </c>
      <c r="I1" t="s">
        <v>9</v>
      </c>
      <c r="J1">
        <f>PI()/4</f>
        <v>0.78539816339744828</v>
      </c>
    </row>
    <row r="3" spans="1:10" x14ac:dyDescent="0.35">
      <c r="B3" t="s">
        <v>0</v>
      </c>
      <c r="C3" t="s">
        <v>1</v>
      </c>
      <c r="D3" t="s">
        <v>2</v>
      </c>
      <c r="E3" t="s">
        <v>3</v>
      </c>
      <c r="G3" t="s">
        <v>6</v>
      </c>
      <c r="H3" t="s">
        <v>5</v>
      </c>
      <c r="I3" t="s">
        <v>8</v>
      </c>
    </row>
    <row r="4" spans="1:10" x14ac:dyDescent="0.35">
      <c r="A4">
        <v>1</v>
      </c>
      <c r="B4">
        <f ca="1">RAND()*2-1</f>
        <v>0.71080054421658967</v>
      </c>
      <c r="C4">
        <f ca="1">RAND()*2-1</f>
        <v>-8.6633034594479019E-2</v>
      </c>
      <c r="D4">
        <f ca="1">IF(B4^2+C4^2&lt;1,1,0)</f>
        <v>1</v>
      </c>
      <c r="E4">
        <f ca="1">AVERAGE($D$4:D4)</f>
        <v>1</v>
      </c>
    </row>
    <row r="5" spans="1:10" x14ac:dyDescent="0.35">
      <c r="A5">
        <v>2</v>
      </c>
      <c r="B5">
        <f t="shared" ref="B5:C13" ca="1" si="0">RAND()*2-1</f>
        <v>1.8467503363800875E-2</v>
      </c>
      <c r="C5">
        <f t="shared" ca="1" si="0"/>
        <v>-0.69272336522484013</v>
      </c>
      <c r="D5">
        <f t="shared" ref="D5:D13" ca="1" si="1">IF(B5^2+C5^2&lt;1,1,0)</f>
        <v>1</v>
      </c>
      <c r="E5">
        <f ca="1">AVERAGE($D$4:D5)</f>
        <v>1</v>
      </c>
      <c r="G5">
        <f ca="1">_xlfn.VAR.S($D$4:D5)</f>
        <v>0</v>
      </c>
      <c r="H5">
        <f ca="1">E5-$G$1*SQRT(G5/A5)</f>
        <v>1</v>
      </c>
      <c r="I5">
        <f ca="1">E5+$G$1*SQRT(G5/A5)</f>
        <v>1</v>
      </c>
    </row>
    <row r="6" spans="1:10" x14ac:dyDescent="0.35">
      <c r="A6">
        <v>3</v>
      </c>
      <c r="B6">
        <f t="shared" ca="1" si="0"/>
        <v>-0.51128560680025448</v>
      </c>
      <c r="C6">
        <f t="shared" ca="1" si="0"/>
        <v>-0.24153471265750248</v>
      </c>
      <c r="D6">
        <f t="shared" ca="1" si="1"/>
        <v>1</v>
      </c>
      <c r="E6">
        <f ca="1">AVERAGE($D$4:D6)</f>
        <v>1</v>
      </c>
      <c r="G6">
        <f ca="1">_xlfn.VAR.S($D$4:D6)</f>
        <v>0</v>
      </c>
      <c r="H6">
        <f t="shared" ref="H6:H13" ca="1" si="2">E6-$G$1*SQRT(G6/A6)</f>
        <v>1</v>
      </c>
      <c r="I6">
        <f t="shared" ref="I6:I13" ca="1" si="3">E6+$G$1*SQRT(G6/A6)</f>
        <v>1</v>
      </c>
    </row>
    <row r="7" spans="1:10" x14ac:dyDescent="0.35">
      <c r="A7">
        <v>4</v>
      </c>
      <c r="B7">
        <f t="shared" ca="1" si="0"/>
        <v>-0.84353759566981568</v>
      </c>
      <c r="C7">
        <f t="shared" ca="1" si="0"/>
        <v>0.58211663751281106</v>
      </c>
      <c r="D7">
        <f t="shared" ca="1" si="1"/>
        <v>0</v>
      </c>
      <c r="E7">
        <f ca="1">AVERAGE($D$4:D7)</f>
        <v>0.75</v>
      </c>
      <c r="G7">
        <f ca="1">_xlfn.VAR.S($D$4:D7)</f>
        <v>0.25</v>
      </c>
      <c r="H7">
        <f t="shared" ca="1" si="2"/>
        <v>0.2600090038649866</v>
      </c>
      <c r="I7">
        <f t="shared" ca="1" si="3"/>
        <v>1.2399909961350133</v>
      </c>
    </row>
    <row r="8" spans="1:10" x14ac:dyDescent="0.35">
      <c r="A8">
        <v>5</v>
      </c>
      <c r="B8">
        <f t="shared" ca="1" si="0"/>
        <v>0.2848211437033048</v>
      </c>
      <c r="C8">
        <f t="shared" ca="1" si="0"/>
        <v>-0.85878184168351801</v>
      </c>
      <c r="D8">
        <f t="shared" ca="1" si="1"/>
        <v>1</v>
      </c>
      <c r="E8">
        <f ca="1">AVERAGE($D$4:D8)</f>
        <v>0.8</v>
      </c>
      <c r="G8">
        <f ca="1">_xlfn.VAR.S($D$4:D8)</f>
        <v>0.19999999999999996</v>
      </c>
      <c r="H8">
        <f t="shared" ca="1" si="2"/>
        <v>0.40800720309198935</v>
      </c>
      <c r="I8">
        <f t="shared" ca="1" si="3"/>
        <v>1.1919927969080106</v>
      </c>
    </row>
    <row r="9" spans="1:10" x14ac:dyDescent="0.35">
      <c r="A9">
        <v>6</v>
      </c>
      <c r="B9">
        <f t="shared" ca="1" si="0"/>
        <v>-0.1885068448886571</v>
      </c>
      <c r="C9">
        <f t="shared" ca="1" si="0"/>
        <v>0.8166786062843685</v>
      </c>
      <c r="D9">
        <f t="shared" ca="1" si="1"/>
        <v>1</v>
      </c>
      <c r="E9">
        <f ca="1">AVERAGE($D$4:D9)</f>
        <v>0.83333333333333337</v>
      </c>
      <c r="G9">
        <f ca="1">_xlfn.VAR.S($D$4:D9)</f>
        <v>0.1666666666666666</v>
      </c>
      <c r="H9">
        <f t="shared" ca="1" si="2"/>
        <v>0.50667266924332455</v>
      </c>
      <c r="I9">
        <f t="shared" ca="1" si="3"/>
        <v>1.1599939974233422</v>
      </c>
    </row>
    <row r="10" spans="1:10" x14ac:dyDescent="0.35">
      <c r="A10">
        <v>7</v>
      </c>
      <c r="B10">
        <f t="shared" ca="1" si="0"/>
        <v>0.98405802036760215</v>
      </c>
      <c r="C10">
        <f t="shared" ca="1" si="0"/>
        <v>2.0349102550241804E-2</v>
      </c>
      <c r="D10">
        <f t="shared" ca="1" si="1"/>
        <v>1</v>
      </c>
      <c r="E10">
        <f ca="1">AVERAGE($D$4:D10)</f>
        <v>0.8571428571428571</v>
      </c>
      <c r="G10">
        <f ca="1">_xlfn.VAR.S($D$4:D10)</f>
        <v>0.14285714285714279</v>
      </c>
      <c r="H10">
        <f t="shared" ca="1" si="2"/>
        <v>0.57714800220856377</v>
      </c>
      <c r="I10">
        <f t="shared" ca="1" si="3"/>
        <v>1.1371377120771504</v>
      </c>
    </row>
    <row r="11" spans="1:10" x14ac:dyDescent="0.35">
      <c r="A11">
        <v>8</v>
      </c>
      <c r="B11">
        <f t="shared" ca="1" si="0"/>
        <v>-0.95202421578378371</v>
      </c>
      <c r="C11">
        <f t="shared" ca="1" si="0"/>
        <v>0.19699123464665935</v>
      </c>
      <c r="D11">
        <f t="shared" ca="1" si="1"/>
        <v>1</v>
      </c>
      <c r="E11">
        <f ca="1">AVERAGE($D$4:D11)</f>
        <v>0.875</v>
      </c>
      <c r="G11">
        <f ca="1">_xlfn.VAR.S($D$4:D11)</f>
        <v>0.125</v>
      </c>
      <c r="H11">
        <f t="shared" ca="1" si="2"/>
        <v>0.63000450193249335</v>
      </c>
      <c r="I11">
        <f t="shared" ca="1" si="3"/>
        <v>1.1199954980675066</v>
      </c>
    </row>
    <row r="12" spans="1:10" x14ac:dyDescent="0.35">
      <c r="A12">
        <v>9</v>
      </c>
      <c r="B12">
        <f t="shared" ca="1" si="0"/>
        <v>-0.28093366513736839</v>
      </c>
      <c r="C12">
        <f t="shared" ca="1" si="0"/>
        <v>-0.81123819553984466</v>
      </c>
      <c r="D12">
        <f t="shared" ca="1" si="1"/>
        <v>1</v>
      </c>
      <c r="E12">
        <f ca="1">AVERAGE($D$4:D12)</f>
        <v>0.88888888888888884</v>
      </c>
      <c r="G12">
        <f ca="1">_xlfn.VAR.S($D$4:D12)</f>
        <v>0.11111111111111116</v>
      </c>
      <c r="H12">
        <f t="shared" ca="1" si="2"/>
        <v>0.67111511282888281</v>
      </c>
      <c r="I12">
        <f t="shared" ca="1" si="3"/>
        <v>1.1066626649488949</v>
      </c>
    </row>
    <row r="13" spans="1:10" x14ac:dyDescent="0.35">
      <c r="A13">
        <v>10</v>
      </c>
      <c r="B13">
        <f t="shared" ca="1" si="0"/>
        <v>0.94761717364974962</v>
      </c>
      <c r="C13">
        <f t="shared" ca="1" si="0"/>
        <v>-0.77682493553663634</v>
      </c>
      <c r="D13">
        <f t="shared" ca="1" si="1"/>
        <v>0</v>
      </c>
      <c r="E13">
        <f ca="1">AVERAGE($D$4:D13)</f>
        <v>0.8</v>
      </c>
      <c r="G13">
        <f ca="1">_xlfn.VAR.S($D$4:D13)</f>
        <v>0.17777777777777773</v>
      </c>
      <c r="H13">
        <f t="shared" ca="1" si="2"/>
        <v>0.53867146872799287</v>
      </c>
      <c r="I13">
        <f t="shared" ca="1" si="3"/>
        <v>1.0613285312720073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5B54-CED6-4378-A60D-9927AE6B54EB}">
  <dimension ref="A2:G116"/>
  <sheetViews>
    <sheetView tabSelected="1" topLeftCell="A102" workbookViewId="0">
      <selection activeCell="I118" sqref="I118"/>
    </sheetView>
  </sheetViews>
  <sheetFormatPr defaultRowHeight="14.5" x14ac:dyDescent="0.35"/>
  <sheetData>
    <row r="2" spans="1:7" x14ac:dyDescent="0.35">
      <c r="B2" t="s">
        <v>10</v>
      </c>
    </row>
    <row r="3" spans="1:7" x14ac:dyDescent="0.35">
      <c r="B3" t="s">
        <v>17</v>
      </c>
    </row>
    <row r="4" spans="1:7" x14ac:dyDescent="0.35">
      <c r="B4" t="s">
        <v>16</v>
      </c>
    </row>
    <row r="6" spans="1:7" x14ac:dyDescent="0.35">
      <c r="B6" t="s">
        <v>18</v>
      </c>
    </row>
    <row r="7" spans="1:7" x14ac:dyDescent="0.35">
      <c r="B7" t="s">
        <v>19</v>
      </c>
    </row>
    <row r="8" spans="1:7" x14ac:dyDescent="0.35">
      <c r="B8" t="s">
        <v>15</v>
      </c>
    </row>
    <row r="10" spans="1:7" x14ac:dyDescent="0.35">
      <c r="A10" s="2" t="s">
        <v>14</v>
      </c>
      <c r="B10" s="2" t="s">
        <v>11</v>
      </c>
      <c r="C10" s="2" t="s">
        <v>12</v>
      </c>
      <c r="D10" s="2" t="s">
        <v>13</v>
      </c>
      <c r="E10" s="2" t="s">
        <v>23</v>
      </c>
      <c r="F10" s="2" t="s">
        <v>24</v>
      </c>
    </row>
    <row r="11" spans="1:7" x14ac:dyDescent="0.35">
      <c r="A11">
        <v>1</v>
      </c>
      <c r="B11">
        <f ca="1" xml:space="preserve"> - 10000*LOG(RAND(),2.7182818)</f>
        <v>12572.425175741486</v>
      </c>
      <c r="C11">
        <f ca="1" xml:space="preserve"> - 10000*LOG(RAND(),2.7182818)</f>
        <v>1656.195124417633</v>
      </c>
      <c r="D11">
        <f ca="1" xml:space="preserve"> - 10000*LOG(RAND(),2.7182818)</f>
        <v>19586.230533932488</v>
      </c>
      <c r="E11">
        <f ca="1" xml:space="preserve"> - 10000*LOG(RAND(),2.7182818)</f>
        <v>20499.587148095903</v>
      </c>
      <c r="F11">
        <f ca="1" xml:space="preserve"> - 10000*LOG(RAND(),2.7182818)</f>
        <v>17410.620961044464</v>
      </c>
      <c r="G11">
        <f ca="1">MIN(B11:F11)</f>
        <v>1656.195124417633</v>
      </c>
    </row>
    <row r="12" spans="1:7" x14ac:dyDescent="0.35">
      <c r="A12">
        <v>2</v>
      </c>
      <c r="B12">
        <f t="shared" ref="B12:F27" ca="1" si="0" xml:space="preserve"> - 10000*LOG(RAND(),2.7182818)</f>
        <v>22972.539146476811</v>
      </c>
      <c r="C12">
        <f t="shared" ca="1" si="0"/>
        <v>13438.397078848586</v>
      </c>
      <c r="D12">
        <f t="shared" ca="1" si="0"/>
        <v>1770.4698708649132</v>
      </c>
      <c r="E12">
        <f t="shared" ca="1" si="0"/>
        <v>9518.1063816150454</v>
      </c>
      <c r="F12">
        <f t="shared" ca="1" si="0"/>
        <v>2397.3918997960423</v>
      </c>
      <c r="G12">
        <f t="shared" ref="G12:G75" ca="1" si="1">MIN(B12:F12)</f>
        <v>1770.4698708649132</v>
      </c>
    </row>
    <row r="13" spans="1:7" x14ac:dyDescent="0.35">
      <c r="A13">
        <v>3</v>
      </c>
      <c r="B13">
        <f t="shared" ca="1" si="0"/>
        <v>1543.3203337780183</v>
      </c>
      <c r="C13">
        <f t="shared" ca="1" si="0"/>
        <v>15851.518780779201</v>
      </c>
      <c r="D13">
        <f t="shared" ca="1" si="0"/>
        <v>2480.3194187990289</v>
      </c>
      <c r="E13">
        <f t="shared" ca="1" si="0"/>
        <v>1441.1125017234776</v>
      </c>
      <c r="F13">
        <f t="shared" ca="1" si="0"/>
        <v>9033.6676684548711</v>
      </c>
      <c r="G13">
        <f t="shared" ca="1" si="1"/>
        <v>1441.1125017234776</v>
      </c>
    </row>
    <row r="14" spans="1:7" x14ac:dyDescent="0.35">
      <c r="A14">
        <v>4</v>
      </c>
      <c r="B14">
        <f t="shared" ca="1" si="0"/>
        <v>19016.362102913059</v>
      </c>
      <c r="C14">
        <f t="shared" ca="1" si="0"/>
        <v>327.48603840008371</v>
      </c>
      <c r="D14">
        <f t="shared" ca="1" si="0"/>
        <v>5216.0454411976843</v>
      </c>
      <c r="E14">
        <f t="shared" ca="1" si="0"/>
        <v>726.84131719176867</v>
      </c>
      <c r="F14">
        <f t="shared" ca="1" si="0"/>
        <v>2929.8908179753989</v>
      </c>
      <c r="G14">
        <f t="shared" ca="1" si="1"/>
        <v>327.48603840008371</v>
      </c>
    </row>
    <row r="15" spans="1:7" x14ac:dyDescent="0.35">
      <c r="A15">
        <v>5</v>
      </c>
      <c r="B15">
        <f t="shared" ca="1" si="0"/>
        <v>3276.4152802614449</v>
      </c>
      <c r="C15">
        <f t="shared" ca="1" si="0"/>
        <v>34293.256547424011</v>
      </c>
      <c r="D15">
        <f t="shared" ca="1" si="0"/>
        <v>15014.460800405059</v>
      </c>
      <c r="E15">
        <f t="shared" ca="1" si="0"/>
        <v>12510.219399164562</v>
      </c>
      <c r="F15">
        <f t="shared" ca="1" si="0"/>
        <v>23191.238929872041</v>
      </c>
      <c r="G15">
        <f t="shared" ca="1" si="1"/>
        <v>3276.4152802614449</v>
      </c>
    </row>
    <row r="16" spans="1:7" x14ac:dyDescent="0.35">
      <c r="A16">
        <v>6</v>
      </c>
      <c r="B16">
        <f t="shared" ca="1" si="0"/>
        <v>7207.1906921480413</v>
      </c>
      <c r="C16">
        <f t="shared" ca="1" si="0"/>
        <v>9685.4923431241896</v>
      </c>
      <c r="D16">
        <f t="shared" ca="1" si="0"/>
        <v>9477.6798910400248</v>
      </c>
      <c r="E16">
        <f t="shared" ca="1" si="0"/>
        <v>22432.043051929882</v>
      </c>
      <c r="F16">
        <f t="shared" ca="1" si="0"/>
        <v>28549.88501724066</v>
      </c>
      <c r="G16">
        <f t="shared" ca="1" si="1"/>
        <v>7207.1906921480413</v>
      </c>
    </row>
    <row r="17" spans="1:7" x14ac:dyDescent="0.35">
      <c r="A17">
        <v>7</v>
      </c>
      <c r="B17">
        <f t="shared" ca="1" si="0"/>
        <v>4505.436671843454</v>
      </c>
      <c r="C17">
        <f t="shared" ca="1" si="0"/>
        <v>12682.32610123499</v>
      </c>
      <c r="D17">
        <f t="shared" ca="1" si="0"/>
        <v>41648.112741970159</v>
      </c>
      <c r="E17">
        <f t="shared" ca="1" si="0"/>
        <v>10396.219070961344</v>
      </c>
      <c r="F17">
        <f t="shared" ca="1" si="0"/>
        <v>3885.7241381459085</v>
      </c>
      <c r="G17">
        <f t="shared" ca="1" si="1"/>
        <v>3885.7241381459085</v>
      </c>
    </row>
    <row r="18" spans="1:7" x14ac:dyDescent="0.35">
      <c r="A18">
        <v>8</v>
      </c>
      <c r="B18">
        <f t="shared" ca="1" si="0"/>
        <v>5861.6369587978797</v>
      </c>
      <c r="C18">
        <f t="shared" ca="1" si="0"/>
        <v>11251.839885983898</v>
      </c>
      <c r="D18">
        <f t="shared" ca="1" si="0"/>
        <v>30402.75401064313</v>
      </c>
      <c r="E18">
        <f t="shared" ca="1" si="0"/>
        <v>15898.695171760184</v>
      </c>
      <c r="F18">
        <f t="shared" ca="1" si="0"/>
        <v>1429.3890342959642</v>
      </c>
      <c r="G18">
        <f t="shared" ca="1" si="1"/>
        <v>1429.3890342959642</v>
      </c>
    </row>
    <row r="19" spans="1:7" x14ac:dyDescent="0.35">
      <c r="A19">
        <v>9</v>
      </c>
      <c r="B19">
        <f t="shared" ca="1" si="0"/>
        <v>3641.0459128187349</v>
      </c>
      <c r="C19">
        <f t="shared" ca="1" si="0"/>
        <v>16090.332008703133</v>
      </c>
      <c r="D19">
        <f t="shared" ca="1" si="0"/>
        <v>10466.853746328341</v>
      </c>
      <c r="E19">
        <f t="shared" ca="1" si="0"/>
        <v>26562.492685294834</v>
      </c>
      <c r="F19">
        <f t="shared" ca="1" si="0"/>
        <v>423.35709656710588</v>
      </c>
      <c r="G19">
        <f t="shared" ca="1" si="1"/>
        <v>423.35709656710588</v>
      </c>
    </row>
    <row r="20" spans="1:7" x14ac:dyDescent="0.35">
      <c r="A20">
        <v>10</v>
      </c>
      <c r="B20">
        <f t="shared" ca="1" si="0"/>
        <v>5653.3879895239506</v>
      </c>
      <c r="C20">
        <f t="shared" ca="1" si="0"/>
        <v>6318.7710337203371</v>
      </c>
      <c r="D20">
        <f t="shared" ca="1" si="0"/>
        <v>15.771796021509482</v>
      </c>
      <c r="E20">
        <f t="shared" ca="1" si="0"/>
        <v>488.51211863741958</v>
      </c>
      <c r="F20">
        <f t="shared" ca="1" si="0"/>
        <v>8967.2779096640934</v>
      </c>
      <c r="G20">
        <f t="shared" ca="1" si="1"/>
        <v>15.771796021509482</v>
      </c>
    </row>
    <row r="21" spans="1:7" x14ac:dyDescent="0.35">
      <c r="A21">
        <v>11</v>
      </c>
      <c r="B21">
        <f t="shared" ca="1" si="0"/>
        <v>33600.834349586323</v>
      </c>
      <c r="C21">
        <f t="shared" ca="1" si="0"/>
        <v>5755.245718314447</v>
      </c>
      <c r="D21">
        <f t="shared" ca="1" si="0"/>
        <v>153.053730733668</v>
      </c>
      <c r="E21">
        <f t="shared" ca="1" si="0"/>
        <v>29.006786746531962</v>
      </c>
      <c r="F21">
        <f t="shared" ca="1" si="0"/>
        <v>6350.6637548205672</v>
      </c>
      <c r="G21">
        <f t="shared" ca="1" si="1"/>
        <v>29.006786746531962</v>
      </c>
    </row>
    <row r="22" spans="1:7" x14ac:dyDescent="0.35">
      <c r="A22">
        <v>12</v>
      </c>
      <c r="B22">
        <f t="shared" ca="1" si="0"/>
        <v>1338.7920582485374</v>
      </c>
      <c r="C22">
        <f t="shared" ca="1" si="0"/>
        <v>4116.2027053714455</v>
      </c>
      <c r="D22">
        <f t="shared" ca="1" si="0"/>
        <v>7176.1568870763358</v>
      </c>
      <c r="E22">
        <f t="shared" ca="1" si="0"/>
        <v>3081.9761281080414</v>
      </c>
      <c r="F22">
        <f t="shared" ca="1" si="0"/>
        <v>2731.9260185838484</v>
      </c>
      <c r="G22">
        <f t="shared" ca="1" si="1"/>
        <v>1338.7920582485374</v>
      </c>
    </row>
    <row r="23" spans="1:7" x14ac:dyDescent="0.35">
      <c r="A23">
        <v>13</v>
      </c>
      <c r="B23">
        <f t="shared" ca="1" si="0"/>
        <v>5297.0438346615374</v>
      </c>
      <c r="C23">
        <f t="shared" ca="1" si="0"/>
        <v>348.6028658964168</v>
      </c>
      <c r="D23">
        <f t="shared" ca="1" si="0"/>
        <v>751.9089817407156</v>
      </c>
      <c r="E23">
        <f t="shared" ca="1" si="0"/>
        <v>11538.682870432836</v>
      </c>
      <c r="F23">
        <f t="shared" ca="1" si="0"/>
        <v>11456.667654918929</v>
      </c>
      <c r="G23">
        <f t="shared" ca="1" si="1"/>
        <v>348.6028658964168</v>
      </c>
    </row>
    <row r="24" spans="1:7" x14ac:dyDescent="0.35">
      <c r="A24">
        <v>14</v>
      </c>
      <c r="B24">
        <f t="shared" ca="1" si="0"/>
        <v>28059.988582122474</v>
      </c>
      <c r="C24">
        <f t="shared" ca="1" si="0"/>
        <v>15910.508547007272</v>
      </c>
      <c r="D24">
        <f t="shared" ca="1" si="0"/>
        <v>29069.672853149277</v>
      </c>
      <c r="E24">
        <f t="shared" ca="1" si="0"/>
        <v>8149.0680855843966</v>
      </c>
      <c r="F24">
        <f t="shared" ca="1" si="0"/>
        <v>10592.807969141873</v>
      </c>
      <c r="G24">
        <f t="shared" ca="1" si="1"/>
        <v>8149.0680855843966</v>
      </c>
    </row>
    <row r="25" spans="1:7" x14ac:dyDescent="0.35">
      <c r="A25">
        <v>15</v>
      </c>
      <c r="B25">
        <f t="shared" ca="1" si="0"/>
        <v>14728.518141098979</v>
      </c>
      <c r="C25">
        <f t="shared" ca="1" si="0"/>
        <v>18856.192495882769</v>
      </c>
      <c r="D25">
        <f t="shared" ca="1" si="0"/>
        <v>506.29711558143936</v>
      </c>
      <c r="E25">
        <f t="shared" ca="1" si="0"/>
        <v>2112.311085093017</v>
      </c>
      <c r="F25">
        <f t="shared" ca="1" si="0"/>
        <v>874.8348522030318</v>
      </c>
      <c r="G25">
        <f t="shared" ca="1" si="1"/>
        <v>506.29711558143936</v>
      </c>
    </row>
    <row r="26" spans="1:7" x14ac:dyDescent="0.35">
      <c r="A26">
        <v>16</v>
      </c>
      <c r="B26">
        <f t="shared" ca="1" si="0"/>
        <v>11980.229028981703</v>
      </c>
      <c r="C26">
        <f t="shared" ca="1" si="0"/>
        <v>4932.9350664875546</v>
      </c>
      <c r="D26">
        <f t="shared" ca="1" si="0"/>
        <v>1002.810710081257</v>
      </c>
      <c r="E26">
        <f t="shared" ca="1" si="0"/>
        <v>3043.1706583421073</v>
      </c>
      <c r="F26">
        <f t="shared" ca="1" si="0"/>
        <v>13087.91843213527</v>
      </c>
      <c r="G26">
        <f t="shared" ca="1" si="1"/>
        <v>1002.810710081257</v>
      </c>
    </row>
    <row r="27" spans="1:7" x14ac:dyDescent="0.35">
      <c r="A27">
        <v>17</v>
      </c>
      <c r="B27">
        <f t="shared" ca="1" si="0"/>
        <v>3564.4187916752053</v>
      </c>
      <c r="C27">
        <f t="shared" ca="1" si="0"/>
        <v>423.31508906819516</v>
      </c>
      <c r="D27">
        <f t="shared" ca="1" si="0"/>
        <v>9024.276316603502</v>
      </c>
      <c r="E27">
        <f t="shared" ca="1" si="0"/>
        <v>2655.1351920338589</v>
      </c>
      <c r="F27">
        <f t="shared" ca="1" si="0"/>
        <v>4486.3841229158907</v>
      </c>
      <c r="G27">
        <f t="shared" ca="1" si="1"/>
        <v>423.31508906819516</v>
      </c>
    </row>
    <row r="28" spans="1:7" x14ac:dyDescent="0.35">
      <c r="A28">
        <v>18</v>
      </c>
      <c r="B28">
        <f t="shared" ref="B28:E91" ca="1" si="2" xml:space="preserve"> - 10000*LOG(RAND(),2.7182818)</f>
        <v>13089.588359202979</v>
      </c>
      <c r="C28">
        <f t="shared" ca="1" si="2"/>
        <v>3708.9432195739264</v>
      </c>
      <c r="D28">
        <f t="shared" ca="1" si="2"/>
        <v>7667.0807131785541</v>
      </c>
      <c r="E28">
        <f t="shared" ca="1" si="2"/>
        <v>33830.978520181277</v>
      </c>
      <c r="F28">
        <f t="shared" ref="F28:F91" ca="1" si="3" xml:space="preserve"> - 10000*LOG(RAND(),2.7182818)</f>
        <v>7309.9741365796408</v>
      </c>
      <c r="G28">
        <f t="shared" ca="1" si="1"/>
        <v>3708.9432195739264</v>
      </c>
    </row>
    <row r="29" spans="1:7" x14ac:dyDescent="0.35">
      <c r="A29">
        <v>19</v>
      </c>
      <c r="B29">
        <f t="shared" ca="1" si="2"/>
        <v>3539.337006055634</v>
      </c>
      <c r="C29">
        <f t="shared" ca="1" si="2"/>
        <v>6952.4339582480734</v>
      </c>
      <c r="D29">
        <f t="shared" ca="1" si="2"/>
        <v>12406.431267847393</v>
      </c>
      <c r="E29">
        <f t="shared" ca="1" si="2"/>
        <v>8849.9278549050341</v>
      </c>
      <c r="F29">
        <f t="shared" ca="1" si="3"/>
        <v>14278.72166865934</v>
      </c>
      <c r="G29">
        <f t="shared" ca="1" si="1"/>
        <v>3539.337006055634</v>
      </c>
    </row>
    <row r="30" spans="1:7" x14ac:dyDescent="0.35">
      <c r="A30">
        <v>20</v>
      </c>
      <c r="B30">
        <f t="shared" ca="1" si="2"/>
        <v>4699.8681828501576</v>
      </c>
      <c r="C30">
        <f t="shared" ca="1" si="2"/>
        <v>209.84134687131248</v>
      </c>
      <c r="D30">
        <f t="shared" ca="1" si="2"/>
        <v>10176.490044420345</v>
      </c>
      <c r="E30">
        <f t="shared" ca="1" si="2"/>
        <v>352.58090889562948</v>
      </c>
      <c r="F30">
        <f t="shared" ca="1" si="3"/>
        <v>10468.982874770321</v>
      </c>
      <c r="G30">
        <f t="shared" ca="1" si="1"/>
        <v>209.84134687131248</v>
      </c>
    </row>
    <row r="31" spans="1:7" x14ac:dyDescent="0.35">
      <c r="A31">
        <v>21</v>
      </c>
      <c r="B31">
        <f t="shared" ca="1" si="2"/>
        <v>6163.4533243128708</v>
      </c>
      <c r="C31">
        <f t="shared" ca="1" si="2"/>
        <v>2688.5396310686401</v>
      </c>
      <c r="D31">
        <f t="shared" ca="1" si="2"/>
        <v>7021.0751498136151</v>
      </c>
      <c r="E31">
        <f t="shared" ca="1" si="2"/>
        <v>29946.089775651828</v>
      </c>
      <c r="F31">
        <f t="shared" ca="1" si="3"/>
        <v>24867.805021208525</v>
      </c>
      <c r="G31">
        <f t="shared" ca="1" si="1"/>
        <v>2688.5396310686401</v>
      </c>
    </row>
    <row r="32" spans="1:7" x14ac:dyDescent="0.35">
      <c r="A32">
        <v>22</v>
      </c>
      <c r="B32">
        <f t="shared" ca="1" si="2"/>
        <v>8902.3301047645182</v>
      </c>
      <c r="C32">
        <f t="shared" ca="1" si="2"/>
        <v>1967.4159776396075</v>
      </c>
      <c r="D32">
        <f t="shared" ca="1" si="2"/>
        <v>10985.422364458278</v>
      </c>
      <c r="E32">
        <f t="shared" ca="1" si="2"/>
        <v>3527.2502145515309</v>
      </c>
      <c r="F32">
        <f t="shared" ca="1" si="3"/>
        <v>3037.8091951084757</v>
      </c>
      <c r="G32">
        <f t="shared" ca="1" si="1"/>
        <v>1967.4159776396075</v>
      </c>
    </row>
    <row r="33" spans="1:7" x14ac:dyDescent="0.35">
      <c r="A33">
        <v>23</v>
      </c>
      <c r="B33">
        <f t="shared" ca="1" si="2"/>
        <v>6928.6942169971744</v>
      </c>
      <c r="C33">
        <f t="shared" ca="1" si="2"/>
        <v>8768.5406471755105</v>
      </c>
      <c r="D33">
        <f t="shared" ca="1" si="2"/>
        <v>557.20772657398288</v>
      </c>
      <c r="E33">
        <f t="shared" ca="1" si="2"/>
        <v>2990.5339399122481</v>
      </c>
      <c r="F33">
        <f t="shared" ca="1" si="3"/>
        <v>8370.6924269678311</v>
      </c>
      <c r="G33">
        <f t="shared" ca="1" si="1"/>
        <v>557.20772657398288</v>
      </c>
    </row>
    <row r="34" spans="1:7" x14ac:dyDescent="0.35">
      <c r="A34">
        <v>24</v>
      </c>
      <c r="B34">
        <f t="shared" ca="1" si="2"/>
        <v>25986.261096913473</v>
      </c>
      <c r="C34">
        <f t="shared" ca="1" si="2"/>
        <v>2476.8164542116897</v>
      </c>
      <c r="D34">
        <f t="shared" ca="1" si="2"/>
        <v>681.58532714421608</v>
      </c>
      <c r="E34">
        <f t="shared" ca="1" si="2"/>
        <v>11206.253210424942</v>
      </c>
      <c r="F34">
        <f t="shared" ca="1" si="3"/>
        <v>8812.5613367240294</v>
      </c>
      <c r="G34">
        <f t="shared" ca="1" si="1"/>
        <v>681.58532714421608</v>
      </c>
    </row>
    <row r="35" spans="1:7" x14ac:dyDescent="0.35">
      <c r="A35">
        <v>25</v>
      </c>
      <c r="B35">
        <f t="shared" ca="1" si="2"/>
        <v>4234.7907678813735</v>
      </c>
      <c r="C35">
        <f t="shared" ca="1" si="2"/>
        <v>20492.141096068637</v>
      </c>
      <c r="D35">
        <f t="shared" ca="1" si="2"/>
        <v>6360.0640739447135</v>
      </c>
      <c r="E35">
        <f t="shared" ca="1" si="2"/>
        <v>10488.526111488623</v>
      </c>
      <c r="F35">
        <f t="shared" ca="1" si="3"/>
        <v>14701.314380755115</v>
      </c>
      <c r="G35">
        <f t="shared" ca="1" si="1"/>
        <v>4234.7907678813735</v>
      </c>
    </row>
    <row r="36" spans="1:7" x14ac:dyDescent="0.35">
      <c r="A36">
        <v>26</v>
      </c>
      <c r="B36">
        <f t="shared" ca="1" si="2"/>
        <v>22071.229269097028</v>
      </c>
      <c r="C36">
        <f t="shared" ca="1" si="2"/>
        <v>5111.3625301999346</v>
      </c>
      <c r="D36">
        <f t="shared" ca="1" si="2"/>
        <v>8707.3741935253765</v>
      </c>
      <c r="E36">
        <f t="shared" ca="1" si="2"/>
        <v>14.049005486729801</v>
      </c>
      <c r="F36">
        <f t="shared" ca="1" si="3"/>
        <v>2682.3603269786668</v>
      </c>
      <c r="G36">
        <f t="shared" ca="1" si="1"/>
        <v>14.049005486729801</v>
      </c>
    </row>
    <row r="37" spans="1:7" x14ac:dyDescent="0.35">
      <c r="A37">
        <v>27</v>
      </c>
      <c r="B37">
        <f t="shared" ca="1" si="2"/>
        <v>3883.5186229292876</v>
      </c>
      <c r="C37">
        <f t="shared" ca="1" si="2"/>
        <v>1420.1842800037323</v>
      </c>
      <c r="D37">
        <f t="shared" ca="1" si="2"/>
        <v>13282.175375870336</v>
      </c>
      <c r="E37">
        <f t="shared" ca="1" si="2"/>
        <v>22332.021724337224</v>
      </c>
      <c r="F37">
        <f t="shared" ca="1" si="3"/>
        <v>2370.626870537832</v>
      </c>
      <c r="G37">
        <f t="shared" ca="1" si="1"/>
        <v>1420.1842800037323</v>
      </c>
    </row>
    <row r="38" spans="1:7" x14ac:dyDescent="0.35">
      <c r="A38">
        <v>28</v>
      </c>
      <c r="B38">
        <f t="shared" ca="1" si="2"/>
        <v>9044.7985695662883</v>
      </c>
      <c r="C38">
        <f t="shared" ca="1" si="2"/>
        <v>2003.3848907296479</v>
      </c>
      <c r="D38">
        <f t="shared" ca="1" si="2"/>
        <v>7391.2072134592636</v>
      </c>
      <c r="E38">
        <f t="shared" ca="1" si="2"/>
        <v>14840.57884500199</v>
      </c>
      <c r="F38">
        <f t="shared" ca="1" si="3"/>
        <v>2379.4069257841311</v>
      </c>
      <c r="G38">
        <f t="shared" ca="1" si="1"/>
        <v>2003.3848907296479</v>
      </c>
    </row>
    <row r="39" spans="1:7" x14ac:dyDescent="0.35">
      <c r="A39">
        <v>29</v>
      </c>
      <c r="B39">
        <f t="shared" ca="1" si="2"/>
        <v>453.62198195602349</v>
      </c>
      <c r="C39">
        <f t="shared" ca="1" si="2"/>
        <v>3333.2721641918024</v>
      </c>
      <c r="D39">
        <f t="shared" ca="1" si="2"/>
        <v>30318.336182443079</v>
      </c>
      <c r="E39">
        <f t="shared" ca="1" si="2"/>
        <v>14376.969220671581</v>
      </c>
      <c r="F39">
        <f t="shared" ca="1" si="3"/>
        <v>2733.0558477564286</v>
      </c>
      <c r="G39">
        <f t="shared" ca="1" si="1"/>
        <v>453.62198195602349</v>
      </c>
    </row>
    <row r="40" spans="1:7" x14ac:dyDescent="0.35">
      <c r="A40">
        <v>30</v>
      </c>
      <c r="B40">
        <f t="shared" ca="1" si="2"/>
        <v>6581.862286088467</v>
      </c>
      <c r="C40">
        <f t="shared" ca="1" si="2"/>
        <v>5708.9967346942376</v>
      </c>
      <c r="D40">
        <f t="shared" ca="1" si="2"/>
        <v>5016.8811753945774</v>
      </c>
      <c r="E40">
        <f t="shared" ca="1" si="2"/>
        <v>8351.0589872760283</v>
      </c>
      <c r="F40">
        <f t="shared" ca="1" si="3"/>
        <v>273.93406844495587</v>
      </c>
      <c r="G40">
        <f t="shared" ca="1" si="1"/>
        <v>273.93406844495587</v>
      </c>
    </row>
    <row r="41" spans="1:7" x14ac:dyDescent="0.35">
      <c r="A41">
        <v>31</v>
      </c>
      <c r="B41">
        <f t="shared" ca="1" si="2"/>
        <v>9835.8814985293302</v>
      </c>
      <c r="C41">
        <f t="shared" ca="1" si="2"/>
        <v>7647.351248099626</v>
      </c>
      <c r="D41">
        <f t="shared" ca="1" si="2"/>
        <v>5661.8652701026858</v>
      </c>
      <c r="E41">
        <f t="shared" ca="1" si="2"/>
        <v>10852.690750002574</v>
      </c>
      <c r="F41">
        <f t="shared" ca="1" si="3"/>
        <v>2428.9844821640891</v>
      </c>
      <c r="G41">
        <f t="shared" ca="1" si="1"/>
        <v>2428.9844821640891</v>
      </c>
    </row>
    <row r="42" spans="1:7" x14ac:dyDescent="0.35">
      <c r="A42">
        <v>32</v>
      </c>
      <c r="B42">
        <f t="shared" ca="1" si="2"/>
        <v>18690.389623647698</v>
      </c>
      <c r="C42">
        <f t="shared" ca="1" si="2"/>
        <v>10818.495180898633</v>
      </c>
      <c r="D42">
        <f t="shared" ca="1" si="2"/>
        <v>7030.7633497545239</v>
      </c>
      <c r="E42">
        <f t="shared" ca="1" si="2"/>
        <v>4657.9723936204182</v>
      </c>
      <c r="F42">
        <f t="shared" ca="1" si="3"/>
        <v>4361.1264571671572</v>
      </c>
      <c r="G42">
        <f t="shared" ca="1" si="1"/>
        <v>4361.1264571671572</v>
      </c>
    </row>
    <row r="43" spans="1:7" x14ac:dyDescent="0.35">
      <c r="A43">
        <v>33</v>
      </c>
      <c r="B43">
        <f t="shared" ca="1" si="2"/>
        <v>9624.8723653864145</v>
      </c>
      <c r="C43">
        <f t="shared" ca="1" si="2"/>
        <v>748.59049048764848</v>
      </c>
      <c r="D43">
        <f t="shared" ca="1" si="2"/>
        <v>15390.435542915122</v>
      </c>
      <c r="E43">
        <f t="shared" ca="1" si="2"/>
        <v>7098.859743698953</v>
      </c>
      <c r="F43">
        <f t="shared" ca="1" si="3"/>
        <v>9928.1021684203879</v>
      </c>
      <c r="G43">
        <f t="shared" ca="1" si="1"/>
        <v>748.59049048764848</v>
      </c>
    </row>
    <row r="44" spans="1:7" x14ac:dyDescent="0.35">
      <c r="A44">
        <v>34</v>
      </c>
      <c r="B44">
        <f t="shared" ca="1" si="2"/>
        <v>6368.4744590971877</v>
      </c>
      <c r="C44">
        <f t="shared" ca="1" si="2"/>
        <v>12322.376118485787</v>
      </c>
      <c r="D44">
        <f t="shared" ca="1" si="2"/>
        <v>10642.017932920753</v>
      </c>
      <c r="E44">
        <f t="shared" ca="1" si="2"/>
        <v>7963.2507409789387</v>
      </c>
      <c r="F44">
        <f t="shared" ca="1" si="3"/>
        <v>13615.193920613627</v>
      </c>
      <c r="G44">
        <f t="shared" ca="1" si="1"/>
        <v>6368.4744590971877</v>
      </c>
    </row>
    <row r="45" spans="1:7" x14ac:dyDescent="0.35">
      <c r="A45">
        <v>35</v>
      </c>
      <c r="B45">
        <f t="shared" ca="1" si="2"/>
        <v>11759.962543692536</v>
      </c>
      <c r="C45">
        <f t="shared" ca="1" si="2"/>
        <v>5061.942820608303</v>
      </c>
      <c r="D45">
        <f t="shared" ca="1" si="2"/>
        <v>12759.921597785509</v>
      </c>
      <c r="E45">
        <f t="shared" ca="1" si="2"/>
        <v>27056.622774442185</v>
      </c>
      <c r="F45">
        <f t="shared" ca="1" si="3"/>
        <v>1826.0456720327948</v>
      </c>
      <c r="G45">
        <f t="shared" ca="1" si="1"/>
        <v>1826.0456720327948</v>
      </c>
    </row>
    <row r="46" spans="1:7" x14ac:dyDescent="0.35">
      <c r="A46">
        <v>36</v>
      </c>
      <c r="B46">
        <f t="shared" ca="1" si="2"/>
        <v>25807.490812117296</v>
      </c>
      <c r="C46">
        <f t="shared" ca="1" si="2"/>
        <v>17364.914034258316</v>
      </c>
      <c r="D46">
        <f t="shared" ca="1" si="2"/>
        <v>7317.9681138082151</v>
      </c>
      <c r="E46">
        <f t="shared" ca="1" si="2"/>
        <v>19656.357853014251</v>
      </c>
      <c r="F46">
        <f t="shared" ca="1" si="3"/>
        <v>7711.9067990018884</v>
      </c>
      <c r="G46">
        <f t="shared" ca="1" si="1"/>
        <v>7317.9681138082151</v>
      </c>
    </row>
    <row r="47" spans="1:7" x14ac:dyDescent="0.35">
      <c r="A47">
        <v>37</v>
      </c>
      <c r="B47">
        <f t="shared" ca="1" si="2"/>
        <v>1344.0325769488391</v>
      </c>
      <c r="C47">
        <f t="shared" ca="1" si="2"/>
        <v>3802.9214382045984</v>
      </c>
      <c r="D47">
        <f t="shared" ca="1" si="2"/>
        <v>1636.4286473628479</v>
      </c>
      <c r="E47">
        <f t="shared" ca="1" si="2"/>
        <v>8282.4742244568133</v>
      </c>
      <c r="F47">
        <f t="shared" ca="1" si="3"/>
        <v>13948.229168868771</v>
      </c>
      <c r="G47">
        <f t="shared" ca="1" si="1"/>
        <v>1344.0325769488391</v>
      </c>
    </row>
    <row r="48" spans="1:7" x14ac:dyDescent="0.35">
      <c r="A48">
        <v>38</v>
      </c>
      <c r="B48">
        <f t="shared" ca="1" si="2"/>
        <v>10992.632050744802</v>
      </c>
      <c r="C48">
        <f t="shared" ca="1" si="2"/>
        <v>1833.3310195380204</v>
      </c>
      <c r="D48">
        <f t="shared" ca="1" si="2"/>
        <v>255.19894664819353</v>
      </c>
      <c r="E48">
        <f t="shared" ca="1" si="2"/>
        <v>8084.8661678068556</v>
      </c>
      <c r="F48">
        <f t="shared" ca="1" si="3"/>
        <v>620.54783936255421</v>
      </c>
      <c r="G48">
        <f t="shared" ca="1" si="1"/>
        <v>255.19894664819353</v>
      </c>
    </row>
    <row r="49" spans="1:7" x14ac:dyDescent="0.35">
      <c r="A49">
        <v>39</v>
      </c>
      <c r="B49">
        <f t="shared" ca="1" si="2"/>
        <v>12819.504870947918</v>
      </c>
      <c r="C49">
        <f t="shared" ca="1" si="2"/>
        <v>9899.0081135723758</v>
      </c>
      <c r="D49">
        <f t="shared" ca="1" si="2"/>
        <v>4819.5918404398672</v>
      </c>
      <c r="E49">
        <f t="shared" ca="1" si="2"/>
        <v>39585.513895346572</v>
      </c>
      <c r="F49">
        <f t="shared" ca="1" si="3"/>
        <v>3012.3402744989485</v>
      </c>
      <c r="G49">
        <f t="shared" ca="1" si="1"/>
        <v>3012.3402744989485</v>
      </c>
    </row>
    <row r="50" spans="1:7" x14ac:dyDescent="0.35">
      <c r="A50">
        <v>40</v>
      </c>
      <c r="B50">
        <f t="shared" ca="1" si="2"/>
        <v>3074.8509306005139</v>
      </c>
      <c r="C50">
        <f t="shared" ca="1" si="2"/>
        <v>19026.811042274658</v>
      </c>
      <c r="D50">
        <f t="shared" ca="1" si="2"/>
        <v>869.65163266685613</v>
      </c>
      <c r="E50">
        <f t="shared" ca="1" si="2"/>
        <v>276.83744051808611</v>
      </c>
      <c r="F50">
        <f t="shared" ca="1" si="3"/>
        <v>2931.5947588398267</v>
      </c>
      <c r="G50">
        <f t="shared" ca="1" si="1"/>
        <v>276.83744051808611</v>
      </c>
    </row>
    <row r="51" spans="1:7" x14ac:dyDescent="0.35">
      <c r="A51">
        <v>41</v>
      </c>
      <c r="B51">
        <f t="shared" ca="1" si="2"/>
        <v>4593.6215253510427</v>
      </c>
      <c r="C51">
        <f t="shared" ca="1" si="2"/>
        <v>24386.363031369623</v>
      </c>
      <c r="D51">
        <f t="shared" ca="1" si="2"/>
        <v>18655.960972470901</v>
      </c>
      <c r="E51">
        <f t="shared" ca="1" si="2"/>
        <v>78818.947497103843</v>
      </c>
      <c r="F51">
        <f t="shared" ca="1" si="3"/>
        <v>2365.9267546530345</v>
      </c>
      <c r="G51">
        <f t="shared" ca="1" si="1"/>
        <v>2365.9267546530345</v>
      </c>
    </row>
    <row r="52" spans="1:7" x14ac:dyDescent="0.35">
      <c r="A52">
        <v>42</v>
      </c>
      <c r="B52">
        <f t="shared" ca="1" si="2"/>
        <v>12112.067147227006</v>
      </c>
      <c r="C52">
        <f t="shared" ca="1" si="2"/>
        <v>9494.8360757141854</v>
      </c>
      <c r="D52">
        <f t="shared" ca="1" si="2"/>
        <v>16775.375904036184</v>
      </c>
      <c r="E52">
        <f t="shared" ca="1" si="2"/>
        <v>1941.6020027525271</v>
      </c>
      <c r="F52">
        <f t="shared" ca="1" si="3"/>
        <v>2957.4184664151971</v>
      </c>
      <c r="G52">
        <f t="shared" ca="1" si="1"/>
        <v>1941.6020027525271</v>
      </c>
    </row>
    <row r="53" spans="1:7" x14ac:dyDescent="0.35">
      <c r="A53">
        <v>43</v>
      </c>
      <c r="B53">
        <f t="shared" ca="1" si="2"/>
        <v>22922.444033110358</v>
      </c>
      <c r="C53">
        <f t="shared" ca="1" si="2"/>
        <v>2059.0874212953354</v>
      </c>
      <c r="D53">
        <f t="shared" ca="1" si="2"/>
        <v>3333.4639305078258</v>
      </c>
      <c r="E53">
        <f t="shared" ca="1" si="2"/>
        <v>16197.227791871022</v>
      </c>
      <c r="F53">
        <f t="shared" ca="1" si="3"/>
        <v>14293.731292089924</v>
      </c>
      <c r="G53">
        <f t="shared" ca="1" si="1"/>
        <v>2059.0874212953354</v>
      </c>
    </row>
    <row r="54" spans="1:7" x14ac:dyDescent="0.35">
      <c r="A54">
        <v>44</v>
      </c>
      <c r="B54">
        <f t="shared" ca="1" si="2"/>
        <v>15005.784623597025</v>
      </c>
      <c r="C54">
        <f t="shared" ca="1" si="2"/>
        <v>10222.436638491676</v>
      </c>
      <c r="D54">
        <f t="shared" ca="1" si="2"/>
        <v>17716.575099587488</v>
      </c>
      <c r="E54">
        <f t="shared" ca="1" si="2"/>
        <v>1726.0625879230856</v>
      </c>
      <c r="F54">
        <f t="shared" ca="1" si="3"/>
        <v>13521.923608915136</v>
      </c>
      <c r="G54">
        <f t="shared" ca="1" si="1"/>
        <v>1726.0625879230856</v>
      </c>
    </row>
    <row r="55" spans="1:7" x14ac:dyDescent="0.35">
      <c r="A55">
        <v>45</v>
      </c>
      <c r="B55">
        <f t="shared" ca="1" si="2"/>
        <v>6775.2525263723428</v>
      </c>
      <c r="C55">
        <f t="shared" ca="1" si="2"/>
        <v>18539.360988002529</v>
      </c>
      <c r="D55">
        <f t="shared" ca="1" si="2"/>
        <v>10364.977583511634</v>
      </c>
      <c r="E55">
        <f t="shared" ca="1" si="2"/>
        <v>6261.6963992340916</v>
      </c>
      <c r="F55">
        <f t="shared" ca="1" si="3"/>
        <v>10925.385966038277</v>
      </c>
      <c r="G55">
        <f t="shared" ca="1" si="1"/>
        <v>6261.6963992340916</v>
      </c>
    </row>
    <row r="56" spans="1:7" x14ac:dyDescent="0.35">
      <c r="A56">
        <v>46</v>
      </c>
      <c r="B56">
        <f t="shared" ca="1" si="2"/>
        <v>19693.230584574114</v>
      </c>
      <c r="C56">
        <f t="shared" ca="1" si="2"/>
        <v>18758.202810452523</v>
      </c>
      <c r="D56">
        <f t="shared" ca="1" si="2"/>
        <v>29507.22796278667</v>
      </c>
      <c r="E56">
        <f t="shared" ca="1" si="2"/>
        <v>5887.8826055311174</v>
      </c>
      <c r="F56">
        <f t="shared" ca="1" si="3"/>
        <v>7215.6458770851195</v>
      </c>
      <c r="G56">
        <f t="shared" ca="1" si="1"/>
        <v>5887.8826055311174</v>
      </c>
    </row>
    <row r="57" spans="1:7" x14ac:dyDescent="0.35">
      <c r="A57">
        <v>47</v>
      </c>
      <c r="B57">
        <f t="shared" ca="1" si="2"/>
        <v>119.4445268693153</v>
      </c>
      <c r="C57">
        <f t="shared" ca="1" si="2"/>
        <v>20931.502166621733</v>
      </c>
      <c r="D57">
        <f t="shared" ca="1" si="2"/>
        <v>2593.7086399063342</v>
      </c>
      <c r="E57">
        <f t="shared" ca="1" si="2"/>
        <v>5994.1366171436648</v>
      </c>
      <c r="F57">
        <f t="shared" ca="1" si="3"/>
        <v>9646.4991770960478</v>
      </c>
      <c r="G57">
        <f t="shared" ca="1" si="1"/>
        <v>119.4445268693153</v>
      </c>
    </row>
    <row r="58" spans="1:7" x14ac:dyDescent="0.35">
      <c r="A58">
        <v>48</v>
      </c>
      <c r="B58">
        <f t="shared" ca="1" si="2"/>
        <v>5089.4044973710161</v>
      </c>
      <c r="C58">
        <f t="shared" ca="1" si="2"/>
        <v>84.406849221379602</v>
      </c>
      <c r="D58">
        <f t="shared" ca="1" si="2"/>
        <v>3882.9652445651341</v>
      </c>
      <c r="E58">
        <f t="shared" ca="1" si="2"/>
        <v>19341.262775315372</v>
      </c>
      <c r="F58">
        <f t="shared" ca="1" si="3"/>
        <v>4038.842920446913</v>
      </c>
      <c r="G58">
        <f t="shared" ca="1" si="1"/>
        <v>84.406849221379602</v>
      </c>
    </row>
    <row r="59" spans="1:7" x14ac:dyDescent="0.35">
      <c r="A59">
        <v>49</v>
      </c>
      <c r="B59">
        <f t="shared" ca="1" si="2"/>
        <v>11754.392585422505</v>
      </c>
      <c r="C59">
        <f t="shared" ca="1" si="2"/>
        <v>18102.925627841101</v>
      </c>
      <c r="D59">
        <f t="shared" ca="1" si="2"/>
        <v>12602.247023658138</v>
      </c>
      <c r="E59">
        <f t="shared" ca="1" si="2"/>
        <v>1848.9167079320539</v>
      </c>
      <c r="F59">
        <f t="shared" ca="1" si="3"/>
        <v>4498.5199782932177</v>
      </c>
      <c r="G59">
        <f t="shared" ca="1" si="1"/>
        <v>1848.9167079320539</v>
      </c>
    </row>
    <row r="60" spans="1:7" x14ac:dyDescent="0.35">
      <c r="A60">
        <v>50</v>
      </c>
      <c r="B60">
        <f t="shared" ca="1" si="2"/>
        <v>16768.315361179812</v>
      </c>
      <c r="C60">
        <f t="shared" ca="1" si="2"/>
        <v>16925.869566292469</v>
      </c>
      <c r="D60">
        <f t="shared" ca="1" si="2"/>
        <v>11973.085273099499</v>
      </c>
      <c r="E60">
        <f t="shared" ca="1" si="2"/>
        <v>490.44791365486321</v>
      </c>
      <c r="F60">
        <f t="shared" ca="1" si="3"/>
        <v>2524.0717987027483</v>
      </c>
      <c r="G60">
        <f t="shared" ca="1" si="1"/>
        <v>490.44791365486321</v>
      </c>
    </row>
    <row r="61" spans="1:7" x14ac:dyDescent="0.35">
      <c r="A61">
        <v>51</v>
      </c>
      <c r="B61">
        <f t="shared" ca="1" si="2"/>
        <v>6433.5362679961927</v>
      </c>
      <c r="C61">
        <f t="shared" ca="1" si="2"/>
        <v>13004.892796571943</v>
      </c>
      <c r="D61">
        <f t="shared" ca="1" si="2"/>
        <v>834.32306641332514</v>
      </c>
      <c r="E61">
        <f t="shared" ca="1" si="2"/>
        <v>542.81858062031779</v>
      </c>
      <c r="F61">
        <f t="shared" ca="1" si="3"/>
        <v>13190.594055667429</v>
      </c>
      <c r="G61">
        <f t="shared" ca="1" si="1"/>
        <v>542.81858062031779</v>
      </c>
    </row>
    <row r="62" spans="1:7" x14ac:dyDescent="0.35">
      <c r="A62">
        <v>52</v>
      </c>
      <c r="B62">
        <f t="shared" ca="1" si="2"/>
        <v>1972.2976552869136</v>
      </c>
      <c r="C62">
        <f t="shared" ca="1" si="2"/>
        <v>4300.4568090317143</v>
      </c>
      <c r="D62">
        <f t="shared" ca="1" si="2"/>
        <v>2754.4394453017794</v>
      </c>
      <c r="E62">
        <f t="shared" ca="1" si="2"/>
        <v>11986.942843600056</v>
      </c>
      <c r="F62">
        <f t="shared" ca="1" si="3"/>
        <v>12005.310031506187</v>
      </c>
      <c r="G62">
        <f t="shared" ca="1" si="1"/>
        <v>1972.2976552869136</v>
      </c>
    </row>
    <row r="63" spans="1:7" x14ac:dyDescent="0.35">
      <c r="A63">
        <v>53</v>
      </c>
      <c r="B63">
        <f t="shared" ca="1" si="2"/>
        <v>157.71302499963883</v>
      </c>
      <c r="C63">
        <f t="shared" ca="1" si="2"/>
        <v>4676.370457928736</v>
      </c>
      <c r="D63">
        <f t="shared" ca="1" si="2"/>
        <v>2100.438867096459</v>
      </c>
      <c r="E63">
        <f t="shared" ca="1" si="2"/>
        <v>5016.2507824439872</v>
      </c>
      <c r="F63">
        <f t="shared" ca="1" si="3"/>
        <v>13566.403952804974</v>
      </c>
      <c r="G63">
        <f t="shared" ca="1" si="1"/>
        <v>157.71302499963883</v>
      </c>
    </row>
    <row r="64" spans="1:7" x14ac:dyDescent="0.35">
      <c r="A64">
        <v>54</v>
      </c>
      <c r="B64">
        <f t="shared" ca="1" si="2"/>
        <v>3783.6845772486395</v>
      </c>
      <c r="C64">
        <f t="shared" ca="1" si="2"/>
        <v>20172.394949048041</v>
      </c>
      <c r="D64">
        <f t="shared" ca="1" si="2"/>
        <v>18375.345748548065</v>
      </c>
      <c r="E64">
        <f t="shared" ca="1" si="2"/>
        <v>27817.220709770525</v>
      </c>
      <c r="F64">
        <f t="shared" ca="1" si="3"/>
        <v>11660.033770795606</v>
      </c>
      <c r="G64">
        <f t="shared" ca="1" si="1"/>
        <v>3783.6845772486395</v>
      </c>
    </row>
    <row r="65" spans="1:7" x14ac:dyDescent="0.35">
      <c r="A65">
        <v>55</v>
      </c>
      <c r="B65">
        <f t="shared" ca="1" si="2"/>
        <v>1767.2685826174761</v>
      </c>
      <c r="C65">
        <f t="shared" ca="1" si="2"/>
        <v>2486.3053337594097</v>
      </c>
      <c r="D65">
        <f t="shared" ca="1" si="2"/>
        <v>10681.261400183712</v>
      </c>
      <c r="E65">
        <f t="shared" ca="1" si="2"/>
        <v>860.03300107122845</v>
      </c>
      <c r="F65">
        <f t="shared" ca="1" si="3"/>
        <v>17055.042959636565</v>
      </c>
      <c r="G65">
        <f t="shared" ca="1" si="1"/>
        <v>860.03300107122845</v>
      </c>
    </row>
    <row r="66" spans="1:7" x14ac:dyDescent="0.35">
      <c r="A66">
        <v>56</v>
      </c>
      <c r="B66">
        <f t="shared" ca="1" si="2"/>
        <v>10776.175195260896</v>
      </c>
      <c r="C66">
        <f t="shared" ca="1" si="2"/>
        <v>1418.0645017431384</v>
      </c>
      <c r="D66">
        <f t="shared" ca="1" si="2"/>
        <v>7.5542843164675082</v>
      </c>
      <c r="E66">
        <f t="shared" ca="1" si="2"/>
        <v>3166.8911492071302</v>
      </c>
      <c r="F66">
        <f t="shared" ca="1" si="3"/>
        <v>42.472415346394996</v>
      </c>
      <c r="G66">
        <f t="shared" ca="1" si="1"/>
        <v>7.5542843164675082</v>
      </c>
    </row>
    <row r="67" spans="1:7" x14ac:dyDescent="0.35">
      <c r="A67">
        <v>57</v>
      </c>
      <c r="B67">
        <f t="shared" ca="1" si="2"/>
        <v>3932.7839179416142</v>
      </c>
      <c r="C67">
        <f t="shared" ca="1" si="2"/>
        <v>5899.3200848718207</v>
      </c>
      <c r="D67">
        <f t="shared" ca="1" si="2"/>
        <v>5134.6726772421544</v>
      </c>
      <c r="E67">
        <f t="shared" ca="1" si="2"/>
        <v>20173.250242088354</v>
      </c>
      <c r="F67">
        <f t="shared" ca="1" si="3"/>
        <v>11709.307898066852</v>
      </c>
      <c r="G67">
        <f t="shared" ca="1" si="1"/>
        <v>3932.7839179416142</v>
      </c>
    </row>
    <row r="68" spans="1:7" x14ac:dyDescent="0.35">
      <c r="A68">
        <v>58</v>
      </c>
      <c r="B68">
        <f t="shared" ca="1" si="2"/>
        <v>13745.122445282293</v>
      </c>
      <c r="C68">
        <f t="shared" ca="1" si="2"/>
        <v>14669.146015635559</v>
      </c>
      <c r="D68">
        <f t="shared" ca="1" si="2"/>
        <v>10392.279864890832</v>
      </c>
      <c r="E68">
        <f t="shared" ca="1" si="2"/>
        <v>5770.1490923936735</v>
      </c>
      <c r="F68">
        <f t="shared" ca="1" si="3"/>
        <v>4267.7376532674298</v>
      </c>
      <c r="G68">
        <f t="shared" ca="1" si="1"/>
        <v>4267.7376532674298</v>
      </c>
    </row>
    <row r="69" spans="1:7" x14ac:dyDescent="0.35">
      <c r="A69">
        <v>59</v>
      </c>
      <c r="B69">
        <f t="shared" ca="1" si="2"/>
        <v>978.66366553483033</v>
      </c>
      <c r="C69">
        <f t="shared" ca="1" si="2"/>
        <v>9099.6834437992457</v>
      </c>
      <c r="D69">
        <f t="shared" ca="1" si="2"/>
        <v>1757.644017271022</v>
      </c>
      <c r="E69">
        <f t="shared" ca="1" si="2"/>
        <v>7604.7721398849935</v>
      </c>
      <c r="F69">
        <f t="shared" ca="1" si="3"/>
        <v>13234.264782763723</v>
      </c>
      <c r="G69">
        <f t="shared" ca="1" si="1"/>
        <v>978.66366553483033</v>
      </c>
    </row>
    <row r="70" spans="1:7" x14ac:dyDescent="0.35">
      <c r="A70">
        <v>60</v>
      </c>
      <c r="B70">
        <f t="shared" ca="1" si="2"/>
        <v>10674.011516500981</v>
      </c>
      <c r="C70">
        <f t="shared" ca="1" si="2"/>
        <v>3039.3594514756796</v>
      </c>
      <c r="D70">
        <f t="shared" ca="1" si="2"/>
        <v>7460.3744265572268</v>
      </c>
      <c r="E70">
        <f t="shared" ca="1" si="2"/>
        <v>2423.8028616087122</v>
      </c>
      <c r="F70">
        <f t="shared" ca="1" si="3"/>
        <v>2083.9718299510846</v>
      </c>
      <c r="G70">
        <f t="shared" ca="1" si="1"/>
        <v>2083.9718299510846</v>
      </c>
    </row>
    <row r="71" spans="1:7" x14ac:dyDescent="0.35">
      <c r="A71">
        <v>61</v>
      </c>
      <c r="B71">
        <f t="shared" ca="1" si="2"/>
        <v>4232.4744971650935</v>
      </c>
      <c r="C71">
        <f t="shared" ca="1" si="2"/>
        <v>11619.981849253838</v>
      </c>
      <c r="D71">
        <f t="shared" ca="1" si="2"/>
        <v>643.13074674837128</v>
      </c>
      <c r="E71">
        <f t="shared" ca="1" si="2"/>
        <v>22575.491640798009</v>
      </c>
      <c r="F71">
        <f t="shared" ca="1" si="3"/>
        <v>8835.3542063444183</v>
      </c>
      <c r="G71">
        <f t="shared" ca="1" si="1"/>
        <v>643.13074674837128</v>
      </c>
    </row>
    <row r="72" spans="1:7" x14ac:dyDescent="0.35">
      <c r="A72">
        <v>62</v>
      </c>
      <c r="B72">
        <f t="shared" ca="1" si="2"/>
        <v>1215.3677289344519</v>
      </c>
      <c r="C72">
        <f t="shared" ca="1" si="2"/>
        <v>7463.6508753729877</v>
      </c>
      <c r="D72">
        <f t="shared" ca="1" si="2"/>
        <v>322.69526373962742</v>
      </c>
      <c r="E72">
        <f t="shared" ca="1" si="2"/>
        <v>20328.150254685341</v>
      </c>
      <c r="F72">
        <f t="shared" ca="1" si="3"/>
        <v>1429.4482865716761</v>
      </c>
      <c r="G72">
        <f t="shared" ca="1" si="1"/>
        <v>322.69526373962742</v>
      </c>
    </row>
    <row r="73" spans="1:7" x14ac:dyDescent="0.35">
      <c r="A73">
        <v>63</v>
      </c>
      <c r="B73">
        <f t="shared" ca="1" si="2"/>
        <v>22.509358382883836</v>
      </c>
      <c r="C73">
        <f t="shared" ca="1" si="2"/>
        <v>16814.370789643894</v>
      </c>
      <c r="D73">
        <f t="shared" ca="1" si="2"/>
        <v>700.98988895062257</v>
      </c>
      <c r="E73">
        <f t="shared" ca="1" si="2"/>
        <v>14583.021713120512</v>
      </c>
      <c r="F73">
        <f t="shared" ca="1" si="3"/>
        <v>15752.381520685512</v>
      </c>
      <c r="G73">
        <f t="shared" ca="1" si="1"/>
        <v>22.509358382883836</v>
      </c>
    </row>
    <row r="74" spans="1:7" x14ac:dyDescent="0.35">
      <c r="A74">
        <v>64</v>
      </c>
      <c r="B74">
        <f t="shared" ca="1" si="2"/>
        <v>12374.028886630673</v>
      </c>
      <c r="C74">
        <f t="shared" ca="1" si="2"/>
        <v>3891.9338703174285</v>
      </c>
      <c r="D74">
        <f t="shared" ca="1" si="2"/>
        <v>11879.871808235985</v>
      </c>
      <c r="E74">
        <f t="shared" ca="1" si="2"/>
        <v>11206.808380520046</v>
      </c>
      <c r="F74">
        <f t="shared" ca="1" si="3"/>
        <v>253.78515642698417</v>
      </c>
      <c r="G74">
        <f t="shared" ca="1" si="1"/>
        <v>253.78515642698417</v>
      </c>
    </row>
    <row r="75" spans="1:7" x14ac:dyDescent="0.35">
      <c r="A75">
        <v>65</v>
      </c>
      <c r="B75">
        <f t="shared" ca="1" si="2"/>
        <v>29886.341384441774</v>
      </c>
      <c r="C75">
        <f t="shared" ca="1" si="2"/>
        <v>6399.2833426813304</v>
      </c>
      <c r="D75">
        <f t="shared" ca="1" si="2"/>
        <v>40414.814292922529</v>
      </c>
      <c r="E75">
        <f t="shared" ca="1" si="2"/>
        <v>13241.015713214088</v>
      </c>
      <c r="F75">
        <f t="shared" ca="1" si="3"/>
        <v>3806.2586169941842</v>
      </c>
      <c r="G75">
        <f t="shared" ca="1" si="1"/>
        <v>3806.2586169941842</v>
      </c>
    </row>
    <row r="76" spans="1:7" x14ac:dyDescent="0.35">
      <c r="A76">
        <v>66</v>
      </c>
      <c r="B76">
        <f t="shared" ca="1" si="2"/>
        <v>2620.380638529994</v>
      </c>
      <c r="C76">
        <f t="shared" ca="1" si="2"/>
        <v>10338.446399653865</v>
      </c>
      <c r="D76">
        <f t="shared" ca="1" si="2"/>
        <v>3761.9454947426107</v>
      </c>
      <c r="E76">
        <f t="shared" ca="1" si="2"/>
        <v>3960.4913338496376</v>
      </c>
      <c r="F76">
        <f t="shared" ca="1" si="3"/>
        <v>25178.319379808145</v>
      </c>
      <c r="G76">
        <f t="shared" ref="G76:G110" ca="1" si="4">MIN(B76:F76)</f>
        <v>2620.380638529994</v>
      </c>
    </row>
    <row r="77" spans="1:7" x14ac:dyDescent="0.35">
      <c r="A77">
        <v>67</v>
      </c>
      <c r="B77">
        <f t="shared" ca="1" si="2"/>
        <v>6115.6991980083021</v>
      </c>
      <c r="C77">
        <f t="shared" ca="1" si="2"/>
        <v>31283.100049319139</v>
      </c>
      <c r="D77">
        <f t="shared" ca="1" si="2"/>
        <v>1234.0297717362014</v>
      </c>
      <c r="E77">
        <f t="shared" ca="1" si="2"/>
        <v>30607.068290345604</v>
      </c>
      <c r="F77">
        <f t="shared" ca="1" si="3"/>
        <v>13867.400818674127</v>
      </c>
      <c r="G77">
        <f t="shared" ca="1" si="4"/>
        <v>1234.0297717362014</v>
      </c>
    </row>
    <row r="78" spans="1:7" x14ac:dyDescent="0.35">
      <c r="A78">
        <v>68</v>
      </c>
      <c r="B78">
        <f t="shared" ca="1" si="2"/>
        <v>4918.8816470282418</v>
      </c>
      <c r="C78">
        <f t="shared" ca="1" si="2"/>
        <v>9006.1899414086402</v>
      </c>
      <c r="D78">
        <f t="shared" ca="1" si="2"/>
        <v>8794.7062423435127</v>
      </c>
      <c r="E78">
        <f t="shared" ca="1" si="2"/>
        <v>1553.309939484463</v>
      </c>
      <c r="F78">
        <f t="shared" ca="1" si="3"/>
        <v>19735.646398245422</v>
      </c>
      <c r="G78">
        <f t="shared" ca="1" si="4"/>
        <v>1553.309939484463</v>
      </c>
    </row>
    <row r="79" spans="1:7" x14ac:dyDescent="0.35">
      <c r="A79">
        <v>69</v>
      </c>
      <c r="B79">
        <f t="shared" ca="1" si="2"/>
        <v>37530.780909009751</v>
      </c>
      <c r="C79">
        <f t="shared" ca="1" si="2"/>
        <v>11377.811392887827</v>
      </c>
      <c r="D79">
        <f t="shared" ca="1" si="2"/>
        <v>587.1839575247426</v>
      </c>
      <c r="E79">
        <f t="shared" ca="1" si="2"/>
        <v>3509.7674899493604</v>
      </c>
      <c r="F79">
        <f t="shared" ca="1" si="3"/>
        <v>1825.3683912705085</v>
      </c>
      <c r="G79">
        <f t="shared" ca="1" si="4"/>
        <v>587.1839575247426</v>
      </c>
    </row>
    <row r="80" spans="1:7" x14ac:dyDescent="0.35">
      <c r="A80">
        <v>70</v>
      </c>
      <c r="B80">
        <f t="shared" ca="1" si="2"/>
        <v>3986.9910737401569</v>
      </c>
      <c r="C80">
        <f t="shared" ca="1" si="2"/>
        <v>12026.776173473032</v>
      </c>
      <c r="D80">
        <f t="shared" ca="1" si="2"/>
        <v>6.0223287460846775</v>
      </c>
      <c r="E80">
        <f t="shared" ca="1" si="2"/>
        <v>1170.8665237546838</v>
      </c>
      <c r="F80">
        <f t="shared" ca="1" si="3"/>
        <v>4467.658678677436</v>
      </c>
      <c r="G80">
        <f t="shared" ca="1" si="4"/>
        <v>6.0223287460846775</v>
      </c>
    </row>
    <row r="81" spans="1:7" x14ac:dyDescent="0.35">
      <c r="A81">
        <v>71</v>
      </c>
      <c r="B81">
        <f t="shared" ca="1" si="2"/>
        <v>8553.0666947580776</v>
      </c>
      <c r="C81">
        <f t="shared" ca="1" si="2"/>
        <v>8693.9415131502556</v>
      </c>
      <c r="D81">
        <f t="shared" ca="1" si="2"/>
        <v>8710.6260266405607</v>
      </c>
      <c r="E81">
        <f t="shared" ca="1" si="2"/>
        <v>17625.121851259028</v>
      </c>
      <c r="F81">
        <f t="shared" ca="1" si="3"/>
        <v>12377.364913012256</v>
      </c>
      <c r="G81">
        <f t="shared" ca="1" si="4"/>
        <v>8553.0666947580776</v>
      </c>
    </row>
    <row r="82" spans="1:7" x14ac:dyDescent="0.35">
      <c r="A82">
        <v>72</v>
      </c>
      <c r="B82">
        <f t="shared" ca="1" si="2"/>
        <v>18737.499330039071</v>
      </c>
      <c r="C82">
        <f t="shared" ca="1" si="2"/>
        <v>6287.0575217259548</v>
      </c>
      <c r="D82">
        <f t="shared" ca="1" si="2"/>
        <v>2603.5409989146269</v>
      </c>
      <c r="E82">
        <f t="shared" ca="1" si="2"/>
        <v>11839.341139674047</v>
      </c>
      <c r="F82">
        <f t="shared" ca="1" si="3"/>
        <v>11307.043714790569</v>
      </c>
      <c r="G82">
        <f t="shared" ca="1" si="4"/>
        <v>2603.5409989146269</v>
      </c>
    </row>
    <row r="83" spans="1:7" x14ac:dyDescent="0.35">
      <c r="A83">
        <v>73</v>
      </c>
      <c r="B83">
        <f t="shared" ca="1" si="2"/>
        <v>5847.2242996977129</v>
      </c>
      <c r="C83">
        <f t="shared" ca="1" si="2"/>
        <v>9485.7611858183791</v>
      </c>
      <c r="D83">
        <f t="shared" ca="1" si="2"/>
        <v>26040.348056282775</v>
      </c>
      <c r="E83">
        <f t="shared" ca="1" si="2"/>
        <v>10939.699794351498</v>
      </c>
      <c r="F83">
        <f t="shared" ca="1" si="3"/>
        <v>3151.114115696123</v>
      </c>
      <c r="G83">
        <f t="shared" ca="1" si="4"/>
        <v>3151.114115696123</v>
      </c>
    </row>
    <row r="84" spans="1:7" x14ac:dyDescent="0.35">
      <c r="A84">
        <v>74</v>
      </c>
      <c r="B84">
        <f t="shared" ca="1" si="2"/>
        <v>2670.5715998584119</v>
      </c>
      <c r="C84">
        <f t="shared" ca="1" si="2"/>
        <v>829.08747988190862</v>
      </c>
      <c r="D84">
        <f t="shared" ca="1" si="2"/>
        <v>5192.3921814485866</v>
      </c>
      <c r="E84">
        <f t="shared" ca="1" si="2"/>
        <v>3094.2067672911603</v>
      </c>
      <c r="F84">
        <f t="shared" ca="1" si="3"/>
        <v>101.31757828436038</v>
      </c>
      <c r="G84">
        <f t="shared" ca="1" si="4"/>
        <v>101.31757828436038</v>
      </c>
    </row>
    <row r="85" spans="1:7" x14ac:dyDescent="0.35">
      <c r="A85">
        <v>75</v>
      </c>
      <c r="B85">
        <f t="shared" ca="1" si="2"/>
        <v>2384.1165510821324</v>
      </c>
      <c r="C85">
        <f t="shared" ca="1" si="2"/>
        <v>4389.128847768141</v>
      </c>
      <c r="D85">
        <f t="shared" ca="1" si="2"/>
        <v>6091.9026141812328</v>
      </c>
      <c r="E85">
        <f t="shared" ca="1" si="2"/>
        <v>701.96588328188886</v>
      </c>
      <c r="F85">
        <f t="shared" ca="1" si="3"/>
        <v>24814.951812017876</v>
      </c>
      <c r="G85">
        <f t="shared" ca="1" si="4"/>
        <v>701.96588328188886</v>
      </c>
    </row>
    <row r="86" spans="1:7" x14ac:dyDescent="0.35">
      <c r="A86">
        <v>76</v>
      </c>
      <c r="B86">
        <f t="shared" ca="1" si="2"/>
        <v>11390.574891530805</v>
      </c>
      <c r="C86">
        <f t="shared" ca="1" si="2"/>
        <v>11680.315590094158</v>
      </c>
      <c r="D86">
        <f t="shared" ca="1" si="2"/>
        <v>101.49083847976894</v>
      </c>
      <c r="E86">
        <f t="shared" ca="1" si="2"/>
        <v>20871.31645706261</v>
      </c>
      <c r="F86">
        <f t="shared" ca="1" si="3"/>
        <v>53765.847492745721</v>
      </c>
      <c r="G86">
        <f t="shared" ca="1" si="4"/>
        <v>101.49083847976894</v>
      </c>
    </row>
    <row r="87" spans="1:7" x14ac:dyDescent="0.35">
      <c r="A87">
        <v>77</v>
      </c>
      <c r="B87">
        <f t="shared" ca="1" si="2"/>
        <v>12372.527768942367</v>
      </c>
      <c r="C87">
        <f t="shared" ca="1" si="2"/>
        <v>19772.256727992029</v>
      </c>
      <c r="D87">
        <f t="shared" ca="1" si="2"/>
        <v>16369.910801119389</v>
      </c>
      <c r="E87">
        <f t="shared" ca="1" si="2"/>
        <v>7078.4804556734534</v>
      </c>
      <c r="F87">
        <f t="shared" ca="1" si="3"/>
        <v>2540.8796176157839</v>
      </c>
      <c r="G87">
        <f t="shared" ca="1" si="4"/>
        <v>2540.8796176157839</v>
      </c>
    </row>
    <row r="88" spans="1:7" x14ac:dyDescent="0.35">
      <c r="A88">
        <v>78</v>
      </c>
      <c r="B88">
        <f t="shared" ca="1" si="2"/>
        <v>19520.289503280896</v>
      </c>
      <c r="C88">
        <f t="shared" ca="1" si="2"/>
        <v>56068.556379745802</v>
      </c>
      <c r="D88">
        <f t="shared" ca="1" si="2"/>
        <v>9243.5766242235968</v>
      </c>
      <c r="E88">
        <f t="shared" ca="1" si="2"/>
        <v>4295.2582289778456</v>
      </c>
      <c r="F88">
        <f t="shared" ca="1" si="3"/>
        <v>22600.473969689981</v>
      </c>
      <c r="G88">
        <f t="shared" ca="1" si="4"/>
        <v>4295.2582289778456</v>
      </c>
    </row>
    <row r="89" spans="1:7" x14ac:dyDescent="0.35">
      <c r="A89">
        <v>79</v>
      </c>
      <c r="B89">
        <f t="shared" ca="1" si="2"/>
        <v>2547.1117063048741</v>
      </c>
      <c r="C89">
        <f t="shared" ca="1" si="2"/>
        <v>26765.342223881704</v>
      </c>
      <c r="D89">
        <f t="shared" ca="1" si="2"/>
        <v>22274.112046804745</v>
      </c>
      <c r="E89">
        <f t="shared" ca="1" si="2"/>
        <v>1892.2946552423523</v>
      </c>
      <c r="F89">
        <f t="shared" ca="1" si="3"/>
        <v>5137.5343732015162</v>
      </c>
      <c r="G89">
        <f t="shared" ca="1" si="4"/>
        <v>1892.2946552423523</v>
      </c>
    </row>
    <row r="90" spans="1:7" x14ac:dyDescent="0.35">
      <c r="A90">
        <v>80</v>
      </c>
      <c r="B90">
        <f t="shared" ca="1" si="2"/>
        <v>705.6493343883169</v>
      </c>
      <c r="C90">
        <f t="shared" ca="1" si="2"/>
        <v>1566.3645398342442</v>
      </c>
      <c r="D90">
        <f t="shared" ca="1" si="2"/>
        <v>12475.776714672596</v>
      </c>
      <c r="E90">
        <f t="shared" ca="1" si="2"/>
        <v>19633.82873186062</v>
      </c>
      <c r="F90">
        <f t="shared" ca="1" si="3"/>
        <v>13303.946748400716</v>
      </c>
      <c r="G90">
        <f t="shared" ca="1" si="4"/>
        <v>705.6493343883169</v>
      </c>
    </row>
    <row r="91" spans="1:7" x14ac:dyDescent="0.35">
      <c r="A91">
        <v>81</v>
      </c>
      <c r="B91">
        <f t="shared" ca="1" si="2"/>
        <v>3263.2272578386146</v>
      </c>
      <c r="C91">
        <f t="shared" ca="1" si="2"/>
        <v>281.49954606052256</v>
      </c>
      <c r="D91">
        <f t="shared" ca="1" si="2"/>
        <v>4062.8567578664665</v>
      </c>
      <c r="E91">
        <f t="shared" ref="E91:F110" ca="1" si="5" xml:space="preserve"> - 10000*LOG(RAND(),2.7182818)</f>
        <v>9837.6428877162525</v>
      </c>
      <c r="F91">
        <f t="shared" ca="1" si="3"/>
        <v>19446.974669527419</v>
      </c>
      <c r="G91">
        <f t="shared" ca="1" si="4"/>
        <v>281.49954606052256</v>
      </c>
    </row>
    <row r="92" spans="1:7" x14ac:dyDescent="0.35">
      <c r="A92">
        <v>82</v>
      </c>
      <c r="B92">
        <f t="shared" ref="B92:D110" ca="1" si="6" xml:space="preserve"> - 10000*LOG(RAND(),2.7182818)</f>
        <v>3259.0210033665799</v>
      </c>
      <c r="C92">
        <f t="shared" ca="1" si="6"/>
        <v>19933.486168535434</v>
      </c>
      <c r="D92">
        <f t="shared" ca="1" si="6"/>
        <v>6274.162676979342</v>
      </c>
      <c r="E92">
        <f t="shared" ca="1" si="5"/>
        <v>1863.2287507123403</v>
      </c>
      <c r="F92">
        <f t="shared" ca="1" si="5"/>
        <v>25121.643346305867</v>
      </c>
      <c r="G92">
        <f t="shared" ca="1" si="4"/>
        <v>1863.2287507123403</v>
      </c>
    </row>
    <row r="93" spans="1:7" x14ac:dyDescent="0.35">
      <c r="A93">
        <v>83</v>
      </c>
      <c r="B93">
        <f t="shared" ca="1" si="6"/>
        <v>14820.914620053105</v>
      </c>
      <c r="C93">
        <f t="shared" ca="1" si="6"/>
        <v>4730.3655426601417</v>
      </c>
      <c r="D93">
        <f t="shared" ca="1" si="6"/>
        <v>716.52025020170208</v>
      </c>
      <c r="E93">
        <f t="shared" ca="1" si="5"/>
        <v>6689.2933026179735</v>
      </c>
      <c r="F93">
        <f t="shared" ca="1" si="5"/>
        <v>2434.4754800310957</v>
      </c>
      <c r="G93">
        <f t="shared" ca="1" si="4"/>
        <v>716.52025020170208</v>
      </c>
    </row>
    <row r="94" spans="1:7" x14ac:dyDescent="0.35">
      <c r="A94">
        <v>84</v>
      </c>
      <c r="B94">
        <f t="shared" ca="1" si="6"/>
        <v>26421.823570631102</v>
      </c>
      <c r="C94">
        <f t="shared" ca="1" si="6"/>
        <v>20121.890782741371</v>
      </c>
      <c r="D94">
        <f t="shared" ca="1" si="6"/>
        <v>2572.1381460090097</v>
      </c>
      <c r="E94">
        <f t="shared" ca="1" si="5"/>
        <v>74.225287977148326</v>
      </c>
      <c r="F94">
        <f t="shared" ca="1" si="5"/>
        <v>2603.7883024688103</v>
      </c>
      <c r="G94">
        <f t="shared" ca="1" si="4"/>
        <v>74.225287977148326</v>
      </c>
    </row>
    <row r="95" spans="1:7" x14ac:dyDescent="0.35">
      <c r="A95">
        <v>85</v>
      </c>
      <c r="B95">
        <f t="shared" ca="1" si="6"/>
        <v>21493.063896888951</v>
      </c>
      <c r="C95">
        <f t="shared" ca="1" si="6"/>
        <v>9061.8748877452563</v>
      </c>
      <c r="D95">
        <f t="shared" ca="1" si="6"/>
        <v>4821.6289656693752</v>
      </c>
      <c r="E95">
        <f t="shared" ca="1" si="5"/>
        <v>2105.618730687213</v>
      </c>
      <c r="F95">
        <f t="shared" ca="1" si="5"/>
        <v>25470.396894741069</v>
      </c>
      <c r="G95">
        <f t="shared" ca="1" si="4"/>
        <v>2105.618730687213</v>
      </c>
    </row>
    <row r="96" spans="1:7" x14ac:dyDescent="0.35">
      <c r="A96">
        <v>86</v>
      </c>
      <c r="B96">
        <f t="shared" ca="1" si="6"/>
        <v>4804.9096234137587</v>
      </c>
      <c r="C96">
        <f t="shared" ca="1" si="6"/>
        <v>5220.8656271371992</v>
      </c>
      <c r="D96">
        <f t="shared" ca="1" si="6"/>
        <v>1863.4324721705939</v>
      </c>
      <c r="E96">
        <f t="shared" ca="1" si="5"/>
        <v>13594.1646757455</v>
      </c>
      <c r="F96">
        <f t="shared" ca="1" si="5"/>
        <v>2689.3316190150927</v>
      </c>
      <c r="G96">
        <f t="shared" ca="1" si="4"/>
        <v>1863.4324721705939</v>
      </c>
    </row>
    <row r="97" spans="1:7" x14ac:dyDescent="0.35">
      <c r="A97">
        <v>87</v>
      </c>
      <c r="B97">
        <f t="shared" ca="1" si="6"/>
        <v>17972.111720693967</v>
      </c>
      <c r="C97">
        <f t="shared" ca="1" si="6"/>
        <v>16903.457637441716</v>
      </c>
      <c r="D97">
        <f t="shared" ca="1" si="6"/>
        <v>6561.1338028254195</v>
      </c>
      <c r="E97">
        <f t="shared" ca="1" si="5"/>
        <v>14452.893183011603</v>
      </c>
      <c r="F97">
        <f t="shared" ca="1" si="5"/>
        <v>12331.926963546353</v>
      </c>
      <c r="G97">
        <f t="shared" ca="1" si="4"/>
        <v>6561.1338028254195</v>
      </c>
    </row>
    <row r="98" spans="1:7" x14ac:dyDescent="0.35">
      <c r="A98">
        <v>88</v>
      </c>
      <c r="B98">
        <f t="shared" ca="1" si="6"/>
        <v>4562.523741069107</v>
      </c>
      <c r="C98">
        <f t="shared" ca="1" si="6"/>
        <v>3899.147299948293</v>
      </c>
      <c r="D98">
        <f t="shared" ca="1" si="6"/>
        <v>20703.57168192658</v>
      </c>
      <c r="E98">
        <f t="shared" ca="1" si="5"/>
        <v>15266.280555734842</v>
      </c>
      <c r="F98">
        <f t="shared" ca="1" si="5"/>
        <v>17306.074782975978</v>
      </c>
      <c r="G98">
        <f t="shared" ca="1" si="4"/>
        <v>3899.147299948293</v>
      </c>
    </row>
    <row r="99" spans="1:7" x14ac:dyDescent="0.35">
      <c r="A99">
        <v>89</v>
      </c>
      <c r="B99">
        <f t="shared" ca="1" si="6"/>
        <v>6444.8661215722004</v>
      </c>
      <c r="C99">
        <f t="shared" ca="1" si="6"/>
        <v>1199.9262917990002</v>
      </c>
      <c r="D99">
        <f t="shared" ca="1" si="6"/>
        <v>31233.861900909043</v>
      </c>
      <c r="E99">
        <f t="shared" ca="1" si="5"/>
        <v>13509.601342340882</v>
      </c>
      <c r="F99">
        <f t="shared" ca="1" si="5"/>
        <v>7421.5749736813086</v>
      </c>
      <c r="G99">
        <f t="shared" ca="1" si="4"/>
        <v>1199.9262917990002</v>
      </c>
    </row>
    <row r="100" spans="1:7" x14ac:dyDescent="0.35">
      <c r="A100">
        <v>90</v>
      </c>
      <c r="B100">
        <f t="shared" ca="1" si="6"/>
        <v>785.85275966285826</v>
      </c>
      <c r="C100">
        <f t="shared" ca="1" si="6"/>
        <v>3323.6513356966816</v>
      </c>
      <c r="D100">
        <f t="shared" ca="1" si="6"/>
        <v>14219.207970381278</v>
      </c>
      <c r="E100">
        <f t="shared" ca="1" si="5"/>
        <v>801.39191706740985</v>
      </c>
      <c r="F100">
        <f t="shared" ca="1" si="5"/>
        <v>10651.141161018797</v>
      </c>
      <c r="G100">
        <f t="shared" ca="1" si="4"/>
        <v>785.85275966285826</v>
      </c>
    </row>
    <row r="101" spans="1:7" x14ac:dyDescent="0.35">
      <c r="A101">
        <v>91</v>
      </c>
      <c r="B101">
        <f t="shared" ca="1" si="6"/>
        <v>404.97021348597616</v>
      </c>
      <c r="C101">
        <f t="shared" ca="1" si="6"/>
        <v>211.67041143674601</v>
      </c>
      <c r="D101">
        <f t="shared" ca="1" si="6"/>
        <v>3275.3557550138303</v>
      </c>
      <c r="E101">
        <f t="shared" ca="1" si="5"/>
        <v>10437.851655556367</v>
      </c>
      <c r="F101">
        <f t="shared" ca="1" si="5"/>
        <v>7979.5047484042107</v>
      </c>
      <c r="G101">
        <f t="shared" ca="1" si="4"/>
        <v>211.67041143674601</v>
      </c>
    </row>
    <row r="102" spans="1:7" x14ac:dyDescent="0.35">
      <c r="A102">
        <v>92</v>
      </c>
      <c r="B102">
        <f t="shared" ca="1" si="6"/>
        <v>1948.7778287953436</v>
      </c>
      <c r="C102">
        <f t="shared" ca="1" si="6"/>
        <v>8365.0005776578437</v>
      </c>
      <c r="D102">
        <f t="shared" ca="1" si="6"/>
        <v>27684.557079094004</v>
      </c>
      <c r="E102">
        <f t="shared" ca="1" si="5"/>
        <v>151.0101218606527</v>
      </c>
      <c r="F102">
        <f t="shared" ca="1" si="5"/>
        <v>2277.6155337810246</v>
      </c>
      <c r="G102">
        <f t="shared" ca="1" si="4"/>
        <v>151.0101218606527</v>
      </c>
    </row>
    <row r="103" spans="1:7" x14ac:dyDescent="0.35">
      <c r="A103">
        <v>93</v>
      </c>
      <c r="B103">
        <f t="shared" ca="1" si="6"/>
        <v>9224.9505908907413</v>
      </c>
      <c r="C103">
        <f t="shared" ca="1" si="6"/>
        <v>11337.258380863366</v>
      </c>
      <c r="D103">
        <f t="shared" ca="1" si="6"/>
        <v>2717.8395335703381</v>
      </c>
      <c r="E103">
        <f t="shared" ca="1" si="5"/>
        <v>7631.8789755793659</v>
      </c>
      <c r="F103">
        <f t="shared" ca="1" si="5"/>
        <v>875.28002958765592</v>
      </c>
      <c r="G103">
        <f t="shared" ca="1" si="4"/>
        <v>875.28002958765592</v>
      </c>
    </row>
    <row r="104" spans="1:7" x14ac:dyDescent="0.35">
      <c r="A104">
        <v>94</v>
      </c>
      <c r="B104">
        <f t="shared" ca="1" si="6"/>
        <v>7851.74038729514</v>
      </c>
      <c r="C104">
        <f t="shared" ca="1" si="6"/>
        <v>17838.598945125344</v>
      </c>
      <c r="D104">
        <f t="shared" ca="1" si="6"/>
        <v>7538.6848379537978</v>
      </c>
      <c r="E104">
        <f t="shared" ca="1" si="5"/>
        <v>35851.104219675013</v>
      </c>
      <c r="F104">
        <f t="shared" ca="1" si="5"/>
        <v>2537.8560819518771</v>
      </c>
      <c r="G104">
        <f t="shared" ca="1" si="4"/>
        <v>2537.8560819518771</v>
      </c>
    </row>
    <row r="105" spans="1:7" x14ac:dyDescent="0.35">
      <c r="A105">
        <v>95</v>
      </c>
      <c r="B105">
        <f t="shared" ca="1" si="6"/>
        <v>3675.6534135983698</v>
      </c>
      <c r="C105">
        <f t="shared" ca="1" si="6"/>
        <v>903.4411850270028</v>
      </c>
      <c r="D105">
        <f t="shared" ca="1" si="6"/>
        <v>4651.5454409100494</v>
      </c>
      <c r="E105">
        <f t="shared" ca="1" si="5"/>
        <v>14643.748193200181</v>
      </c>
      <c r="F105">
        <f t="shared" ca="1" si="5"/>
        <v>15774.149880919123</v>
      </c>
      <c r="G105">
        <f t="shared" ca="1" si="4"/>
        <v>903.4411850270028</v>
      </c>
    </row>
    <row r="106" spans="1:7" x14ac:dyDescent="0.35">
      <c r="A106">
        <v>96</v>
      </c>
      <c r="B106">
        <f t="shared" ca="1" si="6"/>
        <v>692.48721742173836</v>
      </c>
      <c r="C106">
        <f t="shared" ca="1" si="6"/>
        <v>2212.1997379232084</v>
      </c>
      <c r="D106">
        <f t="shared" ca="1" si="6"/>
        <v>478.80943638959383</v>
      </c>
      <c r="E106">
        <f t="shared" ca="1" si="5"/>
        <v>6368.5132690050696</v>
      </c>
      <c r="F106">
        <f t="shared" ca="1" si="5"/>
        <v>12709.967400711615</v>
      </c>
      <c r="G106">
        <f t="shared" ca="1" si="4"/>
        <v>478.80943638959383</v>
      </c>
    </row>
    <row r="107" spans="1:7" x14ac:dyDescent="0.35">
      <c r="A107">
        <v>97</v>
      </c>
      <c r="B107">
        <f t="shared" ca="1" si="6"/>
        <v>11176.560103023017</v>
      </c>
      <c r="C107">
        <f t="shared" ca="1" si="6"/>
        <v>5424.0424008077935</v>
      </c>
      <c r="D107">
        <f t="shared" ca="1" si="6"/>
        <v>49196.908826876126</v>
      </c>
      <c r="E107">
        <f t="shared" ca="1" si="5"/>
        <v>9455.2743853030115</v>
      </c>
      <c r="F107">
        <f t="shared" ca="1" si="5"/>
        <v>317.43673994317464</v>
      </c>
      <c r="G107">
        <f t="shared" ca="1" si="4"/>
        <v>317.43673994317464</v>
      </c>
    </row>
    <row r="108" spans="1:7" x14ac:dyDescent="0.35">
      <c r="A108">
        <v>98</v>
      </c>
      <c r="B108">
        <f t="shared" ca="1" si="6"/>
        <v>24991.546656398568</v>
      </c>
      <c r="C108">
        <f t="shared" ca="1" si="6"/>
        <v>20957.229887736499</v>
      </c>
      <c r="D108">
        <f t="shared" ca="1" si="6"/>
        <v>791.0504605772278</v>
      </c>
      <c r="E108">
        <f t="shared" ca="1" si="5"/>
        <v>6579.2326182675124</v>
      </c>
      <c r="F108">
        <f t="shared" ca="1" si="5"/>
        <v>14929.025879277617</v>
      </c>
      <c r="G108">
        <f t="shared" ca="1" si="4"/>
        <v>791.0504605772278</v>
      </c>
    </row>
    <row r="109" spans="1:7" x14ac:dyDescent="0.35">
      <c r="A109">
        <v>99</v>
      </c>
      <c r="B109">
        <f t="shared" ca="1" si="6"/>
        <v>1598.6070814627278</v>
      </c>
      <c r="C109">
        <f t="shared" ca="1" si="6"/>
        <v>26480.760851445804</v>
      </c>
      <c r="D109">
        <f t="shared" ca="1" si="6"/>
        <v>4827.0260182383136</v>
      </c>
      <c r="E109">
        <f t="shared" ca="1" si="5"/>
        <v>1626.0042397344807</v>
      </c>
      <c r="F109">
        <f t="shared" ca="1" si="5"/>
        <v>2628.4098218803033</v>
      </c>
      <c r="G109">
        <f t="shared" ca="1" si="4"/>
        <v>1598.6070814627278</v>
      </c>
    </row>
    <row r="110" spans="1:7" x14ac:dyDescent="0.35">
      <c r="A110">
        <v>100</v>
      </c>
      <c r="B110">
        <f t="shared" ca="1" si="6"/>
        <v>8162.0102198192499</v>
      </c>
      <c r="C110">
        <f t="shared" ca="1" si="6"/>
        <v>1478.2356948643232</v>
      </c>
      <c r="D110">
        <f t="shared" ca="1" si="6"/>
        <v>3486.6749506135502</v>
      </c>
      <c r="E110">
        <f t="shared" ca="1" si="5"/>
        <v>18304.420633816109</v>
      </c>
      <c r="F110">
        <f t="shared" ca="1" si="5"/>
        <v>4023.8514858492154</v>
      </c>
      <c r="G110">
        <f t="shared" ca="1" si="4"/>
        <v>1478.2356948643232</v>
      </c>
    </row>
    <row r="112" spans="1:7" x14ac:dyDescent="0.35">
      <c r="E112" t="s">
        <v>20</v>
      </c>
      <c r="G112">
        <f ca="1">AVERAGE(G11:G110)</f>
        <v>1886.860365452575</v>
      </c>
    </row>
    <row r="113" spans="5:7" x14ac:dyDescent="0.35">
      <c r="E113" t="s">
        <v>21</v>
      </c>
      <c r="G113">
        <f ca="1">_xlfn.STDEV.S(G11:G110)</f>
        <v>1964.926007779226</v>
      </c>
    </row>
    <row r="114" spans="5:7" x14ac:dyDescent="0.35">
      <c r="E114" t="s">
        <v>4</v>
      </c>
      <c r="G114">
        <v>0.05</v>
      </c>
    </row>
    <row r="115" spans="5:7" x14ac:dyDescent="0.35">
      <c r="E115" t="s">
        <v>22</v>
      </c>
      <c r="G115">
        <f ca="1">NORMSINV(1-G114/2)*G113/SQRT(100)</f>
        <v>385.11842075333522</v>
      </c>
    </row>
    <row r="116" spans="5:7" x14ac:dyDescent="0.35">
      <c r="G116">
        <f ca="1">G112-G115</f>
        <v>1501.7419446992399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EEAE9-2DBD-4459-B4C5-ADFDCD32DAD8}">
  <ds:schemaRefs>
    <ds:schemaRef ds:uri="http://schemas.microsoft.com/office/2006/metadata/properties"/>
    <ds:schemaRef ds:uri="http://schemas.microsoft.com/office/infopath/2007/PartnerControls"/>
    <ds:schemaRef ds:uri="5ded4f55-6d04-409c-b8bc-ad462a57cb37"/>
    <ds:schemaRef ds:uri="e4d740d5-9104-421f-9861-30ae08678aca"/>
  </ds:schemaRefs>
</ds:datastoreItem>
</file>

<file path=customXml/itemProps2.xml><?xml version="1.0" encoding="utf-8"?>
<ds:datastoreItem xmlns:ds="http://schemas.openxmlformats.org/officeDocument/2006/customXml" ds:itemID="{8568DBD9-DB28-4B0D-B8EA-32F39DA1E7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DDC1A6-F2B8-4B2D-BB21-0D45A88AF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740d5-9104-421f-9861-30ae08678aca"/>
    <ds:schemaRef ds:uri="5ded4f55-6d04-409c-b8bc-ad462a57c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</vt:lpstr>
      <vt:lpstr>3 Lightbulbs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</dc:creator>
  <cp:lastModifiedBy>Bram Van Genabet</cp:lastModifiedBy>
  <dcterms:created xsi:type="dcterms:W3CDTF">2015-06-05T18:17:20Z</dcterms:created>
  <dcterms:modified xsi:type="dcterms:W3CDTF">2026-06-19T17:34:17Z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